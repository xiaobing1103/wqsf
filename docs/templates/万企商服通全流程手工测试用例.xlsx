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4bb8f696c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总览" sheetId="1" r:id="R05f70140cce446a2"/>
    <x:sheet xmlns:r="http://schemas.openxmlformats.org/officeDocument/2006/relationships" name="全流程用例" sheetId="2" r:id="Rabd27677a7bc4696"/>
    <x:sheet xmlns:r="http://schemas.openxmlformats.org/officeDocument/2006/relationships" name="测试数据" sheetId="3" r:id="R56b0713fbb4f4073"/>
    <x:sheet xmlns:r="http://schemas.openxmlformats.org/officeDocument/2006/relationships" name="缺陷记录" sheetId="4" r:id="R7a6732a63500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6B4F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6F78"/>
      </x:patternFill>
    </x:fill>
    <x:fill>
      <x:patternFill patternType="solid">
        <x:fgColor rgb="FFF7FAFB"/>
      </x:patternFill>
    </x:fill>
    <x:fill>
      <x:patternFill patternType="solid">
        <x:fgColor rgb="FFFFF4CC"/>
      </x:patternFill>
    </x:fill>
  </x:fills>
  <x:borders count="30">
    <x:border>
      <x:left/>
      <x:right/>
      <x:top/>
      <x:bottom/>
      <x:diagonal/>
    </x:border>
    <x:border>
      <x:left/>
      <x:right/>
      <x:top/>
      <x:bottom style="thin">
        <x:color rgb="FF9FB3C2"/>
      </x:bottom>
      <x:diagonal/>
    </x:border>
    <x:border>
      <x:left style="thin">
        <x:color rgb="FFB8C5CC"/>
      </x:left>
      <x:right/>
      <x:top style="thin">
        <x:color rgb="FFB8C5CC"/>
      </x:top>
      <x:bottom/>
      <x:diagonal/>
    </x:border>
    <x:border>
      <x:left/>
      <x:right style="thin">
        <x:color rgb="FFB8C5CC"/>
      </x:right>
      <x:top style="thin">
        <x:color rgb="FFB8C5CC"/>
      </x:top>
      <x:bottom/>
      <x:diagonal/>
    </x:border>
    <x:border>
      <x:left style="thin">
        <x:color rgb="FFB8C5CC"/>
      </x:left>
      <x:right/>
      <x:top/>
      <x:bottom/>
      <x:diagonal/>
    </x:border>
    <x:border>
      <x:left/>
      <x:right style="thin">
        <x:color rgb="FFB8C5CC"/>
      </x:right>
      <x:top/>
      <x:bottom/>
      <x:diagonal/>
    </x:border>
    <x:border>
      <x:left style="thin">
        <x:color rgb="FFB8C5CC"/>
      </x:left>
      <x:right/>
      <x:top/>
      <x:bottom style="thin">
        <x:color rgb="FFB8C5CC"/>
      </x:bottom>
      <x:diagonal/>
    </x:border>
    <x:border>
      <x:left/>
      <x:right style="thin">
        <x:color rgb="FFB8C5CC"/>
      </x:right>
      <x:top/>
      <x:bottom style="thin">
        <x:color rgb="FFB8C5CC"/>
      </x:bottom>
      <x:diagonal/>
    </x:border>
    <x:border>
      <x:left/>
      <x:right/>
      <x:top style="thin">
        <x:color rgb="FFB8C5CC"/>
      </x:top>
      <x:bottom/>
      <x:diagonal/>
    </x:border>
    <x:border>
      <x:left/>
      <x:right/>
      <x:top/>
      <x:bottom style="thin">
        <x:color rgb="FFB8C5CC"/>
      </x:bottom>
      <x:diagonal/>
    </x:border>
    <x:border>
      <x:left style="thin">
        <x:color rgb="FFD5B65A"/>
      </x:left>
      <x:right/>
      <x:top style="thin">
        <x:color rgb="FFD5B65A"/>
      </x:top>
      <x:bottom/>
      <x:diagonal/>
    </x:border>
    <x:border>
      <x:left/>
      <x:right/>
      <x:top style="thin">
        <x:color rgb="FFD5B65A"/>
      </x:top>
      <x:bottom/>
      <x:diagonal/>
    </x:border>
    <x:border>
      <x:left/>
      <x:right style="thin">
        <x:color rgb="FFD5B65A"/>
      </x:right>
      <x:top style="thin">
        <x:color rgb="FFD5B65A"/>
      </x:top>
      <x:bottom/>
      <x:diagonal/>
    </x:border>
    <x:border>
      <x:left style="thin">
        <x:color rgb="FFD5B65A"/>
      </x:left>
      <x:right/>
      <x:top/>
      <x:bottom/>
      <x:diagonal/>
    </x:border>
    <x:border>
      <x:left/>
      <x:right style="thin">
        <x:color rgb="FFD5B65A"/>
      </x:right>
      <x:top/>
      <x:bottom/>
      <x:diagonal/>
    </x:border>
    <x:border>
      <x:left style="thin">
        <x:color rgb="FFD5B65A"/>
      </x:left>
      <x:right/>
      <x:top/>
      <x:bottom style="thin">
        <x:color rgb="FFD5B65A"/>
      </x:bottom>
      <x:diagonal/>
    </x:border>
    <x:border>
      <x:left/>
      <x:right/>
      <x:top/>
      <x:bottom style="thin">
        <x:color rgb="FFD5B65A"/>
      </x:bottom>
      <x:diagonal/>
    </x:border>
    <x:border>
      <x:left/>
      <x:right style="thin">
        <x:color rgb="FFD5B65A"/>
      </x:right>
      <x:top/>
      <x:bottom style="thin">
        <x:color rgb="FFD5B65A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AEBCC5"/>
      </x:left>
      <x:right style="thin">
        <x:color rgb="FFFFFFFF"/>
      </x:right>
      <x:top style="thin">
        <x:color rgb="FFAEBCC5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AEBCC5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AEBCC5"/>
      </x:right>
      <x:top style="thin">
        <x:color rgb="FFAEBCC5"/>
      </x:top>
      <x:bottom style="thin">
        <x:color rgb="FFFFFFFF"/>
      </x:bottom>
      <x:diagonal/>
    </x:border>
    <x:border>
      <x:left style="thin">
        <x:color rgb="FFAEBCC5"/>
      </x:left>
      <x:right/>
      <x:top/>
      <x:bottom/>
      <x:diagonal/>
    </x:border>
    <x:border>
      <x:left/>
      <x:right style="thin">
        <x:color rgb="FFAEBCC5"/>
      </x:right>
      <x:top/>
      <x:bottom/>
      <x:diagonal/>
    </x:border>
    <x:border>
      <x:left style="thin">
        <x:color rgb="FFAEBCC5"/>
      </x:left>
      <x:right/>
      <x:top/>
      <x:bottom style="thin">
        <x:color rgb="FFAEBCC5"/>
      </x:bottom>
      <x:diagonal/>
    </x:border>
    <x:border>
      <x:left/>
      <x:right/>
      <x:top/>
      <x:bottom style="thin">
        <x:color rgb="FFAEBCC5"/>
      </x:bottom>
      <x:diagonal/>
    </x:border>
    <x:border>
      <x:left/>
      <x:right style="thin">
        <x:color rgb="FFAEBCC5"/>
      </x:right>
      <x:top/>
      <x:bottom style="thin">
        <x:color rgb="FFAEBCC5"/>
      </x:bottom>
      <x:diagonal/>
    </x:border>
    <x:border>
      <x:left style="thin">
        <x:color rgb="FFAEBCC5"/>
      </x:left>
      <x:right/>
      <x:top style="thin">
        <x:color rgb="FFAEBCC5"/>
      </x:top>
      <x:bottom/>
      <x:diagonal/>
    </x:border>
    <x:border>
      <x:left/>
      <x:right/>
      <x:top style="thin">
        <x:color rgb="FFAEBCC5"/>
      </x:top>
      <x:bottom/>
      <x:diagonal/>
    </x:border>
    <x:border>
      <x:left/>
      <x:right style="thin">
        <x:color rgb="FFAEBCC5"/>
      </x:right>
      <x:top style="thin">
        <x:color rgb="FFAEBCC5"/>
      </x:top>
      <x:bottom/>
      <x:diagonal/>
    </x:border>
  </x:borders>
  <x:cellStyleXfs count="1">
    <x:xf numFmtId="0" fontId="0" fillId="0" borderId="0"/>
  </x:cellStyleXfs>
  <x:cellXfs count="1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center"/>
    </x:xf>
    <x:xf numFmtId="0" fontId="1" fillId="5" borderId="17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3" fillId="2" borderId="18" xfId="0" applyNumberFormat="1" applyFont="1" applyFill="1" applyBorder="1" applyAlignment="1">
      <x:alignment vertical="center"/>
    </x:xf>
    <x:xf numFmtId="0" fontId="3" fillId="2" borderId="18" xfId="0" applyNumberFormat="1" applyFont="1" applyFill="1" applyBorder="1" applyAlignment="1">
      <x:alignment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/>
    </x:xf>
    <x:xf numFmtId="0" fontId="1" fillId="0" borderId="26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5" borderId="23" xfId="0" applyNumberFormat="1" applyFont="1" applyFill="1" applyBorder="1" applyAlignment="1">
      <x:alignment vertical="center" wrapText="1"/>
    </x:xf>
    <x:xf numFmtId="0" fontId="1" fillId="5" borderId="25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5" borderId="25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3" fillId="2" borderId="27" xfId="0" applyNumberFormat="1" applyFont="1" applyFill="1" applyBorder="1" applyAlignment="1">
      <x:alignment horizontal="center" vertical="center"/>
    </x:xf>
    <x:xf numFmtId="0" fontId="3" fillId="2" borderId="28" xfId="0" applyNumberFormat="1" applyFont="1" applyFill="1" applyBorder="1" applyAlignment="1">
      <x:alignment horizontal="center" vertical="center"/>
    </x:xf>
    <x:xf numFmtId="0" fontId="3" fillId="2" borderId="29" xfId="0" applyNumberFormat="1" applyFont="1" applyFill="1" applyBorder="1" applyAlignment="1">
      <x:alignment horizontal="center" vertical="center"/>
    </x:xf>
    <x:xf numFmtId="202" fontId="1" fillId="0" borderId="25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5" borderId="25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0" fontId="1" fillId="0" borderId="24" xfId="0" applyNumberFormat="1" applyFont="1" applyFill="1" applyBorder="1" applyAlignment="1">
      <x:alignment vertical="center" wrapText="1"/>
    </x:xf>
    <x:xf numFmtId="202" fontId="1" fillId="5" borderId="2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3" fillId="2" borderId="28" xfId="0" applyNumberFormat="1" applyFont="1" applyFill="1" applyBorder="1" applyAlignment="1">
      <x:alignment horizontal="center" vertical="center" wrapText="1"/>
    </x:xf>
    <x:xf numFmtId="0" fontId="3" fillId="2" borderId="29" xfId="0" applyNumberFormat="1" applyFont="1" applyFill="1" applyBorder="1" applyAlignment="1">
      <x:alignment horizontal="center" vertical="center" wrapText="1"/>
    </x:xf>
    <x:xf numFmtId="0" fontId="1" fillId="5" borderId="23" xfId="0" applyNumberFormat="1" applyFont="1" applyFill="1" applyBorder="1" applyAlignment="1">
      <x:alignment vertical="center"/>
    </x:xf>
    <x:xf numFmtId="201" fontId="1" fillId="5" borderId="25" xfId="0" applyNumberFormat="1" applyFont="1" applyFill="1" applyBorder="1" applyAlignment="1">
      <x:alignment vertical="center"/>
    </x:xf>
    <x:xf numFmtId="0" fontId="1" fillId="5" borderId="25" xfId="0" applyNumberFormat="1" applyFont="1" applyFill="1" applyBorder="1" applyAlignment="1">
      <x:alignment vertical="center"/>
    </x:xf>
    <x:xf numFmtId="0" fontId="1" fillId="5" borderId="26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3412"/>
      </x:font>
      <x:fill>
        <x:patternFill patternType="solid">
          <x:bgColor rgb="FFFCE8D5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E6F4EA"/>
        </x:patternFill>
      </x:fill>
    </x:dxf>
    <x:dxf>
      <x:font>
        <x:b/>
        <x:color rgb="FF1D4ED8"/>
      </x:font>
      <x:fill>
        <x:patternFill patternType="solid">
          <x:bgColor rgb="FFE8F0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b9db64c9e4ea8" /><Relationship Type="http://schemas.openxmlformats.org/officeDocument/2006/relationships/theme" Target="/xl/theme/theme1.xml" Id="R26e3352fce214bb7" /><Relationship Type="http://schemas.openxmlformats.org/officeDocument/2006/relationships/sharedStrings" Target="/xl/sharedStrings.xml" Id="Ra078e0c14fca45c6" /><Relationship Type="http://schemas.openxmlformats.org/officeDocument/2006/relationships/worksheet" Target="/xl/worksheets/sheet1.xml" Id="R05f70140cce446a2" /><Relationship Type="http://schemas.openxmlformats.org/officeDocument/2006/relationships/worksheet" Target="/xl/worksheets/sheet2.xml" Id="Rabd27677a7bc4696" /><Relationship Type="http://schemas.openxmlformats.org/officeDocument/2006/relationships/worksheet" Target="/xl/worksheets/sheet3.xml" Id="R56b0713fbb4f4073" /><Relationship Type="http://schemas.openxmlformats.org/officeDocument/2006/relationships/worksheet" Target="/xl/worksheets/sheet4.xml" Id="R7a6732a635004eeb" /></Relationships>
</file>

<file path=xl/tables/table1.xml><?xml version="1.0" encoding="utf-8"?>
<x:table xmlns:x="http://schemas.openxmlformats.org/spreadsheetml/2006/main" id="1" name="FullFlowCases" displayName="FullFlowCases" ref="A6:O117" headerRowCount="1" totalsRowCount="0" totalsRowShown="0">
  <x:tableColumns count="15">
    <x:tableColumn id="1" name="用例ID"/>
    <x:tableColumn id="2" name="模块"/>
    <x:tableColumn id="3" name="角色"/>
    <x:tableColumn id="4" name="优先级"/>
    <x:tableColumn id="5" name="类型"/>
    <x:tableColumn id="6" name="前置条件"/>
    <x:tableColumn id="7" name="操作步骤"/>
    <x:tableColumn id="8" name="测试数据"/>
    <x:tableColumn id="9" name="预期结果"/>
    <x:tableColumn id="10" name="实际结果"/>
    <x:tableColumn id="11" name="状态"/>
    <x:tableColumn id="12" name="执行人"/>
    <x:tableColumn id="13" name="执行日期"/>
    <x:tableColumn id="14" name="缺陷编号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DataTemplate" displayName="TestDataTemplate" ref="A6:D33" headerRowCount="1" totalsRowCount="0" totalsRowShown="0">
  <x:tableColumns count="4">
    <x:tableColumn id="1" name="分类"/>
    <x:tableColumn id="2" name="字段"/>
    <x:tableColumn id="3" name="建议值"/>
    <x:tableColumn id="4" name="用途/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Register" displayName="DefectRegister" ref="A6:Q46" headerRowCount="1" totalsRowCount="0" totalsRowShown="0">
  <x:tableColumns count="17">
    <x:tableColumn id="1" name="缺陷ID"/>
    <x:tableColumn id="2" name="发现日期"/>
    <x:tableColumn id="3" name="报告人"/>
    <x:tableColumn id="4" name="关联用例"/>
    <x:tableColumn id="5" name="模块"/>
    <x:tableColumn id="6" name="标题"/>
    <x:tableColumn id="7" name="严重级别"/>
    <x:tableColumn id="8" name="优先级"/>
    <x:tableColumn id="9" name="环境"/>
    <x:tableColumn id="10" name="复现步骤"/>
    <x:tableColumn id="11" name="预期结果"/>
    <x:tableColumn id="12" name="实际结果"/>
    <x:tableColumn id="13" name="截图/日志/requestId"/>
    <x:tableColumn id="14" name="状态"/>
    <x:tableColumn id="15" name="负责人"/>
    <x:tableColumn id="16" name="回归结果"/>
    <x:tableColumn id="1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4da5d570d1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1c825c9762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21b1abbf024b8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0"/>
      <x:c r="B1" s="60"/>
      <x:c r="C1" s="60"/>
      <x:c r="D1" s="60"/>
      <x:c r="E1" s="60"/>
      <x:c r="F1" s="60"/>
      <x:c r="G1" s="60"/>
      <x:c r="H1" s="60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61" t="str">
        <x:v>万企商服通全流程手工测试执行总览</x:v>
      </x:c>
      <x:c r="B2" s="61"/>
      <x:c r="C2" s="61"/>
      <x:c r="D2" s="61"/>
      <x:c r="E2" s="61"/>
      <x:c r="F2" s="61"/>
      <x:c r="G2" s="61"/>
      <x:c r="H2" s="61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62"/>
      <x:c r="B3" s="62"/>
      <x:c r="C3" s="62"/>
      <x:c r="D3" s="62"/>
      <x:c r="E3" s="62"/>
      <x:c r="F3" s="62"/>
      <x:c r="G3" s="62"/>
      <x:c r="H3" s="6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60"/>
      <x:c r="B4" s="60"/>
      <x:c r="C4" s="60"/>
      <x:c r="D4" s="60"/>
      <x:c r="E4" s="60"/>
      <x:c r="F4" s="60"/>
      <x:c r="G4" s="60"/>
      <x:c r="H4" s="60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63" t="str">
        <x:v>环境/入口</x:v>
      </x:c>
      <x:c r="B5" s="64" t="str">
        <x:v>当前值</x:v>
      </x:c>
      <x:c r="C5" s="60"/>
      <x:c r="D5" s="65" t="str">
        <x:v>推荐执行顺序</x:v>
      </x:c>
      <x:c r="E5" s="65"/>
      <x:c r="F5" s="65"/>
      <x:c r="G5" s="65"/>
      <x:c r="H5" s="65"/>
      <x:c r="I5" s="2"/>
      <x:c r="J5" s="2"/>
      <x:c r="K5" s="2"/>
      <x:c r="L5" s="2"/>
      <x:c r="M5" s="2"/>
      <x:c r="N5" s="2"/>
      <x:c r="O5" s="2"/>
      <x:c r="P5" s="2"/>
      <x:c r="Q5" s="2"/>
    </x:row>
    <x:row r="6" ht="30" customHeight="1">
      <x:c r="A6" s="66" t="str">
        <x:v>后端健康</x:v>
      </x:c>
      <x:c r="B6" s="67" t="str">
        <x:v>http://127.0.0.1:8080/actuator/health</x:v>
      </x:c>
      <x:c r="C6" s="60"/>
      <x:c r="D6" s="30" t="str">
        <x:v>1. 环境：确认 3306/6379/8080/5174/5175 与微信 watcher</x:v>
      </x:c>
      <x:c r="E6" s="31"/>
      <x:c r="F6" s="31"/>
      <x:c r="G6" s="31"/>
      <x:c r="H6" s="32"/>
      <x:c r="I6" s="2"/>
      <x:c r="J6" s="2"/>
      <x:c r="K6" s="2"/>
      <x:c r="L6" s="2"/>
      <x:c r="M6" s="2"/>
      <x:c r="N6" s="2"/>
      <x:c r="O6" s="2"/>
      <x:c r="P6" s="2"/>
      <x:c r="Q6" s="2"/>
    </x:row>
    <x:row r="7" ht="30" customHeight="1">
      <x:c r="A7" s="66" t="str">
        <x:v>Swagger</x:v>
      </x:c>
      <x:c r="B7" s="67" t="str">
        <x:v>http://127.0.0.1:8080/swagger-ui.html</x:v>
      </x:c>
      <x:c r="C7" s="60"/>
      <x:c r="D7" s="33" t="str">
        <x:v>2. 两端登录：管理员密码登录、客户密码/本地微信登录、退出切换</x:v>
      </x:c>
      <x:c r="E7" s="34"/>
      <x:c r="F7" s="34"/>
      <x:c r="G7" s="34"/>
      <x:c r="H7" s="35"/>
      <x:c r="I7" s="2"/>
      <x:c r="J7" s="2"/>
      <x:c r="K7" s="2"/>
      <x:c r="L7" s="2"/>
      <x:c r="M7" s="2"/>
      <x:c r="N7" s="2"/>
      <x:c r="O7" s="2"/>
      <x:c r="P7" s="2"/>
      <x:c r="Q7" s="2"/>
    </x:row>
    <x:row r="8" ht="30" customHeight="1">
      <x:c r="A8" s="66" t="str">
        <x:v>管理后台</x:v>
      </x:c>
      <x:c r="B8" s="67" t="str">
        <x:v>http://127.0.0.1:5174</x:v>
      </x:c>
      <x:c r="C8" s="60"/>
      <x:c r="D8" s="33" t="str">
        <x:v>3. 后台基础：工作台、客户资料、团队权限、业务模板</x:v>
      </x:c>
      <x:c r="E8" s="34"/>
      <x:c r="F8" s="34"/>
      <x:c r="G8" s="34"/>
      <x:c r="H8" s="35"/>
      <x:c r="I8" s="2"/>
      <x:c r="J8" s="2"/>
      <x:c r="K8" s="2"/>
      <x:c r="L8" s="2"/>
      <x:c r="M8" s="2"/>
      <x:c r="N8" s="2"/>
      <x:c r="O8" s="2"/>
      <x:c r="P8" s="2"/>
      <x:c r="Q8" s="2"/>
    </x:row>
    <x:row r="9" ht="30" customHeight="1">
      <x:c r="A9" s="66" t="str">
        <x:v>小程序 H5</x:v>
      </x:c>
      <x:c r="B9" s="67" t="str">
        <x:v>http://127.0.0.1:5175</x:v>
      </x:c>
      <x:c r="C9" s="60"/>
      <x:c r="D9" s="33" t="str">
        <x:v>4. 客户报单：服务选择、资料填写、附件、开票、提交</x:v>
      </x:c>
      <x:c r="E9" s="34"/>
      <x:c r="F9" s="34"/>
      <x:c r="G9" s="34"/>
      <x:c r="H9" s="35"/>
      <x:c r="I9" s="2"/>
      <x:c r="J9" s="2"/>
      <x:c r="K9" s="2"/>
      <x:c r="L9" s="2"/>
      <x:c r="M9" s="2"/>
      <x:c r="N9" s="2"/>
      <x:c r="O9" s="2"/>
      <x:c r="P9" s="2"/>
      <x:c r="Q9" s="2"/>
    </x:row>
    <x:row r="10" ht="30" customHeight="1">
      <x:c r="A10" s="66" t="str">
        <x:v>微信开发包</x:v>
      </x:c>
      <x:c r="B10" s="67" t="str">
        <x:v>apps/client-uni/dist/dev/mp-weixin</x:v>
      </x:c>
      <x:c r="C10" s="60"/>
      <x:c r="D10" s="33" t="str">
        <x:v>5. 后台审核：单项审核、补件、分配、状态流转、线下交接</x:v>
      </x:c>
      <x:c r="E10" s="34"/>
      <x:c r="F10" s="34"/>
      <x:c r="G10" s="34"/>
      <x:c r="H10" s="35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30" customHeight="1">
      <x:c r="A11" s="66" t="str">
        <x:v>管理员账号</x:v>
      </x:c>
      <x:c r="B11" s="67" t="str">
        <x:v>manual_admin_20261012</x:v>
      </x:c>
      <x:c r="C11" s="60"/>
      <x:c r="D11" s="33" t="str">
        <x:v>6. 客户闭环：补件重提、通知、分类列表、企业资料</x:v>
      </x:c>
      <x:c r="E11" s="34"/>
      <x:c r="F11" s="34"/>
      <x:c r="G11" s="34"/>
      <x:c r="H11" s="35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0" customHeight="1">
      <x:c r="A12" s="68" t="str">
        <x:v>客户账号</x:v>
      </x:c>
      <x:c r="B12" s="69" t="str">
        <x:v>local_client</x:v>
      </x:c>
      <x:c r="C12" s="60"/>
      <x:c r="D12" s="33" t="str">
        <x:v>7. 数据能力：导入、导出、审计、权限和并发边界</x:v>
      </x:c>
      <x:c r="E12" s="34"/>
      <x:c r="F12" s="34"/>
      <x:c r="G12" s="34"/>
      <x:c r="H12" s="35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30" customHeight="1">
      <x:c r="A13" s="70"/>
      <x:c r="B13" s="60"/>
      <x:c r="C13" s="60"/>
      <x:c r="D13" s="36" t="str">
        <x:v>8. 微信验收：开发者工具模拟器后再做真机/正式微信验收</x:v>
      </x:c>
      <x:c r="E13" s="37"/>
      <x:c r="F13" s="37"/>
      <x:c r="G13" s="37"/>
      <x:c r="H13" s="38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30" customHeight="1">
      <x:c r="A14" s="71" t="str">
        <x:v>执行指标</x:v>
      </x:c>
      <x:c r="B14" s="72" t="str">
        <x:v>数量/比率</x:v>
      </x:c>
      <x:c r="C14" s="60"/>
      <x:c r="D14" s="60"/>
      <x:c r="E14" s="60"/>
      <x:c r="F14" s="60"/>
      <x:c r="G14" s="60"/>
      <x:c r="H14" s="60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30" customHeight="1">
      <x:c r="A15" s="66" t="str">
        <x:v>总用例数</x:v>
      </x:c>
      <x:c r="B15" s="67" t="n">
        <x:f>COUNTA('全流程用例'!A7:A500)</x:f>
        <x:v>111</x:v>
      </x:c>
      <x:c r="C15" s="60"/>
      <x:c r="D15" s="73" t="str">
        <x:v>填写规则</x:v>
      </x:c>
      <x:c r="E15" s="73"/>
      <x:c r="F15" s="73"/>
      <x:c r="G15" s="73"/>
      <x:c r="H15" s="73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30" customHeight="1">
      <x:c r="A16" s="66" t="str">
        <x:v>通过</x:v>
      </x:c>
      <x:c r="B16" s="67" t="n">
        <x:f>COUNTIF('全流程用例'!K7:K500,"通过")</x:f>
        <x:v>0</x:v>
      </x:c>
      <x:c r="C16" s="60"/>
      <x:c r="D16" s="48" t="str">
        <x:v>实际结果必须写事实，例如“HTTP 200，页面显示 3 条”，不要只写“正常”。</x:v>
      </x:c>
      <x:c r="E16" s="49"/>
      <x:c r="F16" s="49"/>
      <x:c r="G16" s="49"/>
      <x:c r="H16" s="50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30" customHeight="1">
      <x:c r="A17" s="66" t="str">
        <x:v>失败</x:v>
      </x:c>
      <x:c r="B17" s="67" t="n">
        <x:f>COUNTIF('全流程用例'!K7:K500,"失败")</x:f>
        <x:v>0</x:v>
      </x:c>
      <x:c r="C17" s="60"/>
      <x:c r="D17" s="51" t="str">
        <x:v>状态仅选：未执行、通过、失败、阻塞、不适用。</x:v>
      </x:c>
      <x:c r="E17" s="52"/>
      <x:c r="F17" s="52"/>
      <x:c r="G17" s="52"/>
      <x:c r="H17" s="53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30" customHeight="1">
      <x:c r="A18" s="66" t="str">
        <x:v>阻塞</x:v>
      </x:c>
      <x:c r="B18" s="67" t="n">
        <x:f>COUNTIF('全流程用例'!K7:K500,"阻塞")</x:f>
        <x:v>0</x:v>
      </x:c>
      <x:c r="C18" s="60"/>
      <x:c r="D18" s="51" t="str">
        <x:v>失败必须登记缺陷编号；阻塞必须写明缺失环境、账号或外部条件。</x:v>
      </x:c>
      <x:c r="E18" s="52"/>
      <x:c r="F18" s="52"/>
      <x:c r="G18" s="52"/>
      <x:c r="H18" s="53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30" customHeight="1">
      <x:c r="A19" s="66" t="str">
        <x:v>未执行</x:v>
      </x:c>
      <x:c r="B19" s="67" t="n">
        <x:f>COUNTIF('全流程用例'!K7:K500,"未执行")</x:f>
        <x:v>111</x:v>
      </x:c>
      <x:c r="C19" s="60"/>
      <x:c r="D19" s="51" t="str">
        <x:v>全程只用合成数据，不上传真实身份证、征信、银行账号或生产密钥。</x:v>
      </x:c>
      <x:c r="E19" s="52"/>
      <x:c r="F19" s="52"/>
      <x:c r="G19" s="52"/>
      <x:c r="H19" s="53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30" customHeight="1">
      <x:c r="A20" s="68" t="str">
        <x:v>通过率</x:v>
      </x:c>
      <x:c r="B20" s="74" t="n">
        <x:f>IF(B15=0,0,B16/B15)</x:f>
        <x:v>0</x:v>
      </x:c>
      <x:c r="C20" s="60"/>
      <x:c r="D20" s="54" t="str">
        <x:v>微信模拟器、真机和生产是不同验证层级，不能互相替代。</x:v>
      </x:c>
      <x:c r="E20" s="55"/>
      <x:c r="F20" s="55"/>
      <x:c r="G20" s="55"/>
      <x:c r="H20" s="56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H2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5:H15"/>
    <x:mergeCell ref="D16:H16"/>
    <x:mergeCell ref="D17:H17"/>
    <x:mergeCell ref="D18:H18"/>
    <x:mergeCell ref="D19:H19"/>
    <x:mergeCell ref="D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6F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0" hidden="0" customWidth="1"/>
    <x:col min="5" max="5" width="10" hidden="0" customWidth="1"/>
    <x:col min="6" max="6" width="26" hidden="0" customWidth="1"/>
    <x:col min="7" max="7" width="52" hidden="0" customWidth="1"/>
    <x:col min="8" max="8" width="38" hidden="0" customWidth="1"/>
    <x:col min="9" max="9" width="44" hidden="0" customWidth="1"/>
    <x:col min="10" max="10" width="3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全流程手工测试用例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2"/>
      <x:c r="Q3" s="2"/>
    </x:row>
    <x:row r="4">
      <x:c r="A4" s="76" t="str">
        <x:v>执行前先复制或保存本文件；按顺序执行。黄色列由测试人员填写，失败时必须关联‘缺陷记录’中的缺陷编号。</x:v>
      </x:c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80" t="str">
        <x:v>用例ID</x:v>
      </x:c>
      <x:c r="B6" s="81" t="str">
        <x:v>模块</x:v>
      </x:c>
      <x:c r="C6" s="81" t="str">
        <x:v>角色</x:v>
      </x:c>
      <x:c r="D6" s="81" t="str">
        <x:v>优先级</x:v>
      </x:c>
      <x:c r="E6" s="81" t="str">
        <x:v>类型</x:v>
      </x:c>
      <x:c r="F6" s="81" t="str">
        <x:v>前置条件</x:v>
      </x:c>
      <x:c r="G6" s="81" t="str">
        <x:v>操作步骤</x:v>
      </x:c>
      <x:c r="H6" s="81" t="str">
        <x:v>测试数据</x:v>
      </x:c>
      <x:c r="I6" s="81" t="str">
        <x:v>预期结果</x:v>
      </x:c>
      <x:c r="J6" s="81" t="str">
        <x:v>实际结果</x:v>
      </x:c>
      <x:c r="K6" s="81" t="str">
        <x:v>状态</x:v>
      </x:c>
      <x:c r="L6" s="81" t="str">
        <x:v>执行人</x:v>
      </x:c>
      <x:c r="M6" s="81" t="str">
        <x:v>执行日期</x:v>
      </x:c>
      <x:c r="N6" s="81" t="str">
        <x:v>缺陷编号</x:v>
      </x:c>
      <x:c r="O6" s="82" t="str">
        <x:v>备注</x:v>
      </x:c>
      <x:c r="P6" s="2"/>
      <x:c r="Q6" s="2"/>
    </x:row>
    <x:row r="7" ht="66" customHeight="1">
      <x:c r="A7" s="83" t="str">
        <x:v>ENV-001</x:v>
      </x:c>
      <x:c r="B7" s="2" t="str">
        <x:v>环境与启动</x:v>
      </x:c>
      <x:c r="C7" s="2" t="str">
        <x:v>通用</x:v>
      </x:c>
      <x:c r="D7" s="2" t="str">
        <x:v>P0</x:v>
      </x:c>
      <x:c r="E7" s="2" t="str">
        <x:v>正向</x:v>
      </x:c>
      <x:c r="F7" s="60" t="str">
        <x:v>Docker Desktop 已启动</x:v>
      </x:c>
      <x:c r="G7" s="60" t="str">
        <x:v>执行 docker info；确认返回 ServerVersion</x:v>
      </x:c>
      <x:c r="H7" s="60" t="str">
        <x:v>无</x:v>
      </x:c>
      <x:c r="I7" s="60" t="str">
        <x:v>Docker Engine 可用且无连接错误</x:v>
      </x:c>
      <x:c r="J7" s="52" t="str"/>
      <x:c r="K7" s="52" t="str">
        <x:v>未执行</x:v>
      </x:c>
      <x:c r="L7" s="52" t="str"/>
      <x:c r="M7" s="94" t="str"/>
      <x:c r="N7" s="52" t="str"/>
      <x:c r="O7" s="91" t="str"/>
      <x:c r="P7" s="2"/>
      <x:c r="Q7" s="2"/>
    </x:row>
    <x:row r="8" ht="66" customHeight="1">
      <x:c r="A8" s="83" t="str">
        <x:v>ENV-002</x:v>
      </x:c>
      <x:c r="B8" s="2" t="str">
        <x:v>环境与启动</x:v>
      </x:c>
      <x:c r="C8" s="2" t="str">
        <x:v>通用</x:v>
      </x:c>
      <x:c r="D8" s="2" t="str">
        <x:v>P0</x:v>
      </x:c>
      <x:c r="E8" s="2" t="str">
        <x:v>正向</x:v>
      </x:c>
      <x:c r="F8" s="60" t="str">
        <x:v>位于项目根目录</x:v>
      </x:c>
      <x:c r="G8" s="60" t="str">
        <x:v>执行 docker compose -f infra/docker-compose.yml ps</x:v>
      </x:c>
      <x:c r="H8" s="60" t="str">
        <x:v>无</x:v>
      </x:c>
      <x:c r="I8" s="60" t="str">
        <x:v>MySQL、Valkey、SeaweedFS 均为 running/healthy</x:v>
      </x:c>
      <x:c r="J8" s="52" t="str"/>
      <x:c r="K8" s="52" t="str">
        <x:v>未执行</x:v>
      </x:c>
      <x:c r="L8" s="52" t="str"/>
      <x:c r="M8" s="94" t="str"/>
      <x:c r="N8" s="52" t="str"/>
      <x:c r="O8" s="91" t="str"/>
      <x:c r="P8" s="2"/>
      <x:c r="Q8" s="2"/>
    </x:row>
    <x:row r="9" ht="66" customHeight="1">
      <x:c r="A9" s="83" t="str">
        <x:v>ENV-003</x:v>
      </x:c>
      <x:c r="B9" s="2" t="str">
        <x:v>环境与启动</x:v>
      </x:c>
      <x:c r="C9" s="2" t="str">
        <x:v>通用</x:v>
      </x:c>
      <x:c r="D9" s="2" t="str">
        <x:v>P0</x:v>
      </x:c>
      <x:c r="E9" s="2" t="str">
        <x:v>正向</x:v>
      </x:c>
      <x:c r="F9" s="60" t="str">
        <x:v>后端容器已启动</x:v>
      </x:c>
      <x:c r="G9" s="60" t="str">
        <x:v>浏览器访问 http://127.0.0.1:8080/actuator/health</x:v>
      </x:c>
      <x:c r="H9" s="60" t="str">
        <x:v>无</x:v>
      </x:c>
      <x:c r="I9" s="60" t="str">
        <x:v>HTTP 200，status=UP</x:v>
      </x:c>
      <x:c r="J9" s="52" t="str"/>
      <x:c r="K9" s="52" t="str">
        <x:v>未执行</x:v>
      </x:c>
      <x:c r="L9" s="52" t="str"/>
      <x:c r="M9" s="94" t="str"/>
      <x:c r="N9" s="52" t="str"/>
      <x:c r="O9" s="91" t="str"/>
      <x:c r="P9" s="2"/>
      <x:c r="Q9" s="2"/>
    </x:row>
    <x:row r="10" ht="66" customHeight="1">
      <x:c r="A10" s="83" t="str">
        <x:v>ENV-004</x:v>
      </x:c>
      <x:c r="B10" s="2" t="str">
        <x:v>环境与启动</x:v>
      </x:c>
      <x:c r="C10" s="2" t="str">
        <x:v>通用</x:v>
      </x:c>
      <x:c r="D10" s="2" t="str">
        <x:v>P1</x:v>
      </x:c>
      <x:c r="E10" s="2" t="str">
        <x:v>正向</x:v>
      </x:c>
      <x:c r="F10" s="60" t="str">
        <x:v>后端健康</x:v>
      </x:c>
      <x:c r="G10" s="60" t="str">
        <x:v>访问 http://127.0.0.1:8080/swagger-ui.html；再访问 /v3/api-docs</x:v>
      </x:c>
      <x:c r="H10" s="60" t="str">
        <x:v>无</x:v>
      </x:c>
      <x:c r="I10" s="60" t="str">
        <x:v>Swagger 可打开；OpenAPI JSON 可读取</x:v>
      </x:c>
      <x:c r="J10" s="52" t="str"/>
      <x:c r="K10" s="52" t="str">
        <x:v>未执行</x:v>
      </x:c>
      <x:c r="L10" s="52" t="str"/>
      <x:c r="M10" s="94" t="str"/>
      <x:c r="N10" s="52" t="str"/>
      <x:c r="O10" s="91" t="str"/>
      <x:c r="P10" s="2"/>
      <x:c r="Q10" s="2"/>
    </x:row>
    <x:row r="11" ht="66" customHeight="1">
      <x:c r="A11" s="83" t="str">
        <x:v>ENV-005</x:v>
      </x:c>
      <x:c r="B11" s="2" t="str">
        <x:v>环境与启动</x:v>
      </x:c>
      <x:c r="C11" s="2" t="str">
        <x:v>管理员</x:v>
      </x:c>
      <x:c r="D11" s="2" t="str">
        <x:v>P0</x:v>
      </x:c>
      <x:c r="E11" s="2" t="str">
        <x:v>正向</x:v>
      </x:c>
      <x:c r="F11" s="60" t="str">
        <x:v>后台开发服务已启动</x:v>
      </x:c>
      <x:c r="G11" s="60" t="str">
        <x:v>访问 http://127.0.0.1:5174</x:v>
      </x:c>
      <x:c r="H11" s="60" t="str">
        <x:v>无</x:v>
      </x:c>
      <x:c r="I11" s="60" t="str">
        <x:v>页面加载且进入登录页或已登录工作台，无白屏</x:v>
      </x:c>
      <x:c r="J11" s="52" t="str"/>
      <x:c r="K11" s="52" t="str">
        <x:v>未执行</x:v>
      </x:c>
      <x:c r="L11" s="52" t="str"/>
      <x:c r="M11" s="94" t="str"/>
      <x:c r="N11" s="52" t="str"/>
      <x:c r="O11" s="91" t="str"/>
      <x:c r="P11" s="2"/>
      <x:c r="Q11" s="2"/>
    </x:row>
    <x:row r="12" ht="66" customHeight="1">
      <x:c r="A12" s="83" t="str">
        <x:v>ENV-006</x:v>
      </x:c>
      <x:c r="B12" s="2" t="str">
        <x:v>环境与启动</x:v>
      </x:c>
      <x:c r="C12" s="2" t="str">
        <x:v>客户</x:v>
      </x:c>
      <x:c r="D12" s="2" t="str">
        <x:v>P0</x:v>
      </x:c>
      <x:c r="E12" s="2" t="str">
        <x:v>正向</x:v>
      </x:c>
      <x:c r="F12" s="60" t="str">
        <x:v>H5 开发服务已启动</x:v>
      </x:c>
      <x:c r="G12" s="60" t="str">
        <x:v>访问 http://127.0.0.1:5175</x:v>
      </x:c>
      <x:c r="H12" s="60" t="str">
        <x:v>无</x:v>
      </x:c>
      <x:c r="I12" s="60" t="str">
        <x:v>小程序 H5 页面可加载，无白屏</x:v>
      </x:c>
      <x:c r="J12" s="52" t="str"/>
      <x:c r="K12" s="52" t="str">
        <x:v>未执行</x:v>
      </x:c>
      <x:c r="L12" s="52" t="str"/>
      <x:c r="M12" s="94" t="str"/>
      <x:c r="N12" s="52" t="str"/>
      <x:c r="O12" s="91" t="str"/>
      <x:c r="P12" s="2"/>
      <x:c r="Q12" s="2"/>
    </x:row>
    <x:row r="13" ht="66" customHeight="1">
      <x:c r="A13" s="83" t="str">
        <x:v>ENV-007</x:v>
      </x:c>
      <x:c r="B13" s="2" t="str">
        <x:v>环境与启动</x:v>
      </x:c>
      <x:c r="C13" s="2" t="str">
        <x:v>客户</x:v>
      </x:c>
      <x:c r="D13" s="2" t="str">
        <x:v>P1</x:v>
      </x:c>
      <x:c r="E13" s="2" t="str">
        <x:v>正向</x:v>
      </x:c>
      <x:c r="F13" s="60" t="str">
        <x:v>微信 watcher 已运行</x:v>
      </x:c>
      <x:c r="G13" s="60" t="str">
        <x:v>在微信开发者工具导入 apps/client-uni/dist/dev/mp-weixin；普通编译</x:v>
      </x:c>
      <x:c r="H13" s="60" t="str">
        <x:v>目录：dist/dev/mp-weixin</x:v>
      </x:c>
      <x:c r="I13" s="60" t="str">
        <x:v>编译成功，首屏可见且只有一个微信原生头部</x:v>
      </x:c>
      <x:c r="J13" s="52" t="str"/>
      <x:c r="K13" s="52" t="str">
        <x:v>未执行</x:v>
      </x:c>
      <x:c r="L13" s="52" t="str"/>
      <x:c r="M13" s="94" t="str"/>
      <x:c r="N13" s="52" t="str"/>
      <x:c r="O13" s="91" t="str"/>
      <x:c r="P13" s="2"/>
      <x:c r="Q13" s="2"/>
    </x:row>
    <x:row r="14" ht="66" customHeight="1">
      <x:c r="A14" s="83" t="str">
        <x:v>AUTH-001</x:v>
      </x:c>
      <x:c r="B14" s="2" t="str">
        <x:v>认证与会话</x:v>
      </x:c>
      <x:c r="C14" s="2" t="str">
        <x:v>管理员</x:v>
      </x:c>
      <x:c r="D14" s="2" t="str">
        <x:v>P0</x:v>
      </x:c>
      <x:c r="E14" s="2" t="str">
        <x:v>正向</x:v>
      </x:c>
      <x:c r="F14" s="60" t="str">
        <x:v>进入后台登录页</x:v>
      </x:c>
      <x:c r="G14" s="60" t="str">
        <x:v>输入管理员账号密码；点击登录</x:v>
      </x:c>
      <x:c r="H14" s="60" t="str">
        <x:v>manual_admin_20261012 / ManualAdmin-2026!</x:v>
      </x:c>
      <x:c r="I14" s="60" t="str">
        <x:v>登录成功，进入工作台并显示系统管理员</x:v>
      </x:c>
      <x:c r="J14" s="52" t="str"/>
      <x:c r="K14" s="52" t="str">
        <x:v>未执行</x:v>
      </x:c>
      <x:c r="L14" s="52" t="str"/>
      <x:c r="M14" s="94" t="str"/>
      <x:c r="N14" s="52" t="str"/>
      <x:c r="O14" s="91" t="str"/>
      <x:c r="P14" s="2"/>
      <x:c r="Q14" s="2"/>
    </x:row>
    <x:row r="15" ht="66" customHeight="1">
      <x:c r="A15" s="83" t="str">
        <x:v>AUTH-002</x:v>
      </x:c>
      <x:c r="B15" s="2" t="str">
        <x:v>认证与会话</x:v>
      </x:c>
      <x:c r="C15" s="2" t="str">
        <x:v>管理员</x:v>
      </x:c>
      <x:c r="D15" s="2" t="str">
        <x:v>P1</x:v>
      </x:c>
      <x:c r="E15" s="2" t="str">
        <x:v>异常</x:v>
      </x:c>
      <x:c r="F15" s="60" t="str">
        <x:v>后台登录页</x:v>
      </x:c>
      <x:c r="G15" s="60" t="str">
        <x:v>使用正确账号和错误密码登录</x:v>
      </x:c>
      <x:c r="H15" s="60" t="str">
        <x:v>密码：WrongPassword!</x:v>
      </x:c>
      <x:c r="I15" s="60" t="str">
        <x:v>提示用户名或密码错误，不进入后台</x:v>
      </x:c>
      <x:c r="J15" s="52" t="str"/>
      <x:c r="K15" s="52" t="str">
        <x:v>未执行</x:v>
      </x:c>
      <x:c r="L15" s="52" t="str"/>
      <x:c r="M15" s="94" t="str"/>
      <x:c r="N15" s="52" t="str"/>
      <x:c r="O15" s="91" t="str"/>
      <x:c r="P15" s="2"/>
      <x:c r="Q15" s="2"/>
    </x:row>
    <x:row r="16" ht="66" customHeight="1">
      <x:c r="A16" s="83" t="str">
        <x:v>AUTH-003</x:v>
      </x:c>
      <x:c r="B16" s="2" t="str">
        <x:v>认证与会话</x:v>
      </x:c>
      <x:c r="C16" s="2" t="str">
        <x:v>管理员</x:v>
      </x:c>
      <x:c r="D16" s="2" t="str">
        <x:v>P1</x:v>
      </x:c>
      <x:c r="E16" s="2" t="str">
        <x:v>边界</x:v>
      </x:c>
      <x:c r="F16" s="60" t="str">
        <x:v>已登录后台</x:v>
      </x:c>
      <x:c r="G16" s="60" t="str">
        <x:v>刷新浏览器；关闭并重新打开同地址</x:v>
      </x:c>
      <x:c r="H16" s="60" t="str">
        <x:v>有效 Token</x:v>
      </x:c>
      <x:c r="I16" s="60" t="str">
        <x:v>会话可恢复；若 Token 失效则回登录页，不白屏</x:v>
      </x:c>
      <x:c r="J16" s="52" t="str"/>
      <x:c r="K16" s="52" t="str">
        <x:v>未执行</x:v>
      </x:c>
      <x:c r="L16" s="52" t="str"/>
      <x:c r="M16" s="94" t="str"/>
      <x:c r="N16" s="52" t="str"/>
      <x:c r="O16" s="91" t="str"/>
      <x:c r="P16" s="2"/>
      <x:c r="Q16" s="2"/>
    </x:row>
    <x:row r="17" ht="66" customHeight="1">
      <x:c r="A17" s="83" t="str">
        <x:v>AUTH-004</x:v>
      </x:c>
      <x:c r="B17" s="2" t="str">
        <x:v>认证与会话</x:v>
      </x:c>
      <x:c r="C17" s="2" t="str">
        <x:v>管理员</x:v>
      </x:c>
      <x:c r="D17" s="2" t="str">
        <x:v>P0</x:v>
      </x:c>
      <x:c r="E17" s="2" t="str">
        <x:v>正向</x:v>
      </x:c>
      <x:c r="F17" s="60" t="str">
        <x:v>已登录后台</x:v>
      </x:c>
      <x:c r="G17" s="60" t="str">
        <x:v>点击右上角管理员区域；确认退出登录</x:v>
      </x:c>
      <x:c r="H17" s="60" t="str">
        <x:v>无</x:v>
      </x:c>
      <x:c r="I17" s="60" t="str">
        <x:v>先弹确认；确认后清理会话并回登录页</x:v>
      </x:c>
      <x:c r="J17" s="52" t="str"/>
      <x:c r="K17" s="52" t="str">
        <x:v>未执行</x:v>
      </x:c>
      <x:c r="L17" s="52" t="str"/>
      <x:c r="M17" s="94" t="str"/>
      <x:c r="N17" s="52" t="str"/>
      <x:c r="O17" s="91" t="str"/>
      <x:c r="P17" s="2"/>
      <x:c r="Q17" s="2"/>
    </x:row>
    <x:row r="18" ht="66" customHeight="1">
      <x:c r="A18" s="83" t="str">
        <x:v>AUTH-005</x:v>
      </x:c>
      <x:c r="B18" s="2" t="str">
        <x:v>认证与会话</x:v>
      </x:c>
      <x:c r="C18" s="2" t="str">
        <x:v>客户</x:v>
      </x:c>
      <x:c r="D18" s="2" t="str">
        <x:v>P0</x:v>
      </x:c>
      <x:c r="E18" s="2" t="str">
        <x:v>正向</x:v>
      </x:c>
      <x:c r="F18" s="60" t="str">
        <x:v>进入小程序登录页</x:v>
      </x:c>
      <x:c r="G18" s="60" t="str">
        <x:v>切换账号登录；输入客户账号密码；登录</x:v>
      </x:c>
      <x:c r="H18" s="60" t="str">
        <x:v>local_client / LocalClient-2026!</x:v>
      </x:c>
      <x:c r="I18" s="60" t="str">
        <x:v>登录成功，进入首页并显示客户/企业信息</x:v>
      </x:c>
      <x:c r="J18" s="52" t="str"/>
      <x:c r="K18" s="52" t="str">
        <x:v>未执行</x:v>
      </x:c>
      <x:c r="L18" s="52" t="str"/>
      <x:c r="M18" s="94" t="str"/>
      <x:c r="N18" s="52" t="str"/>
      <x:c r="O18" s="91" t="str"/>
      <x:c r="P18" s="2"/>
      <x:c r="Q18" s="2"/>
    </x:row>
    <x:row r="19" ht="66" customHeight="1">
      <x:c r="A19" s="83" t="str">
        <x:v>AUTH-006</x:v>
      </x:c>
      <x:c r="B19" s="2" t="str">
        <x:v>认证与会话</x:v>
      </x:c>
      <x:c r="C19" s="2" t="str">
        <x:v>客户</x:v>
      </x:c>
      <x:c r="D19" s="2" t="str">
        <x:v>P1</x:v>
      </x:c>
      <x:c r="E19" s="2" t="str">
        <x:v>异常</x:v>
      </x:c>
      <x:c r="F19" s="60" t="str">
        <x:v>小程序账号登录页</x:v>
      </x:c>
      <x:c r="G19" s="60" t="str">
        <x:v>输入错误密码并提交</x:v>
      </x:c>
      <x:c r="H19" s="60" t="str">
        <x:v>密码：WrongPassword!</x:v>
      </x:c>
      <x:c r="I19" s="60" t="str">
        <x:v>提示登录失败，不保留错误会话</x:v>
      </x:c>
      <x:c r="J19" s="52" t="str"/>
      <x:c r="K19" s="52" t="str">
        <x:v>未执行</x:v>
      </x:c>
      <x:c r="L19" s="52" t="str"/>
      <x:c r="M19" s="94" t="str"/>
      <x:c r="N19" s="52" t="str"/>
      <x:c r="O19" s="91" t="str"/>
      <x:c r="P19" s="2"/>
      <x:c r="Q19" s="2"/>
    </x:row>
    <x:row r="20" ht="66" customHeight="1">
      <x:c r="A20" s="83" t="str">
        <x:v>AUTH-007</x:v>
      </x:c>
      <x:c r="B20" s="2" t="str">
        <x:v>认证与会话</x:v>
      </x:c>
      <x:c r="C20" s="2" t="str">
        <x:v>客户</x:v>
      </x:c>
      <x:c r="D20" s="2" t="str">
        <x:v>P1</x:v>
      </x:c>
      <x:c r="E20" s="2" t="str">
        <x:v>正向</x:v>
      </x:c>
      <x:c r="F20" s="60" t="str">
        <x:v>development 环境</x:v>
      </x:c>
      <x:c r="G20" s="60" t="str">
        <x:v>选择微信登录</x:v>
      </x:c>
      <x:c r="H20" s="60" t="str">
        <x:v>VITE_CLIENT_AUTH_MODE=dev</x:v>
      </x:c>
      <x:c r="I20" s="60" t="str">
        <x:v>本地模拟微信登录成功；不要求真实 AppID</x:v>
      </x:c>
      <x:c r="J20" s="52" t="str"/>
      <x:c r="K20" s="52" t="str">
        <x:v>未执行</x:v>
      </x:c>
      <x:c r="L20" s="52" t="str"/>
      <x:c r="M20" s="94" t="str"/>
      <x:c r="N20" s="52" t="str"/>
      <x:c r="O20" s="91" t="str"/>
      <x:c r="P20" s="2"/>
      <x:c r="Q20" s="2"/>
    </x:row>
    <x:row r="21" ht="66" customHeight="1">
      <x:c r="A21" s="83" t="str">
        <x:v>AUTH-008</x:v>
      </x:c>
      <x:c r="B21" s="2" t="str">
        <x:v>认证与会话</x:v>
      </x:c>
      <x:c r="C21" s="2" t="str">
        <x:v>客户</x:v>
      </x:c>
      <x:c r="D21" s="2" t="str">
        <x:v>P1</x:v>
      </x:c>
      <x:c r="E21" s="2" t="str">
        <x:v>正向</x:v>
      </x:c>
      <x:c r="F21" s="60" t="str">
        <x:v>客户已登录</x:v>
      </x:c>
      <x:c r="G21" s="60" t="str">
        <x:v>进入‘我的’；选择退出/切换账号；二次确认</x:v>
      </x:c>
      <x:c r="H21" s="60" t="str">
        <x:v>无</x:v>
      </x:c>
      <x:c r="I21" s="60" t="str">
        <x:v>清空客户、企业、目录、草稿缓存并回登录页</x:v>
      </x:c>
      <x:c r="J21" s="52" t="str"/>
      <x:c r="K21" s="52" t="str">
        <x:v>未执行</x:v>
      </x:c>
      <x:c r="L21" s="52" t="str"/>
      <x:c r="M21" s="94" t="str"/>
      <x:c r="N21" s="52" t="str"/>
      <x:c r="O21" s="91" t="str"/>
      <x:c r="P21" s="2"/>
      <x:c r="Q21" s="2"/>
    </x:row>
    <x:row r="22" ht="66" customHeight="1">
      <x:c r="A22" s="83" t="str">
        <x:v>AUTH-009</x:v>
      </x:c>
      <x:c r="B22" s="2" t="str">
        <x:v>认证与会话</x:v>
      </x:c>
      <x:c r="C22" s="2" t="str">
        <x:v>通用</x:v>
      </x:c>
      <x:c r="D22" s="2" t="str">
        <x:v>P1</x:v>
      </x:c>
      <x:c r="E22" s="2" t="str">
        <x:v>异常</x:v>
      </x:c>
      <x:c r="F22" s="60" t="str">
        <x:v>准备无效 Token</x:v>
      </x:c>
      <x:c r="G22" s="60" t="str">
        <x:v>携带无效 Authorization 调用 /api/v1/auth/me</x:v>
      </x:c>
      <x:c r="H22" s="60" t="str">
        <x:v>Bearer invalid-token</x:v>
      </x:c>
      <x:c r="I22" s="60" t="str">
        <x:v>返回未登录/401，前端清理会话并回登录页</x:v>
      </x:c>
      <x:c r="J22" s="52" t="str"/>
      <x:c r="K22" s="52" t="str">
        <x:v>未执行</x:v>
      </x:c>
      <x:c r="L22" s="52" t="str"/>
      <x:c r="M22" s="94" t="str"/>
      <x:c r="N22" s="52" t="str"/>
      <x:c r="O22" s="91" t="str"/>
      <x:c r="P22" s="2"/>
      <x:c r="Q22" s="2"/>
    </x:row>
    <x:row r="23" ht="66" customHeight="1">
      <x:c r="A23" s="83" t="str">
        <x:v>AUTH-010</x:v>
      </x:c>
      <x:c r="B23" s="2" t="str">
        <x:v>认证与会话</x:v>
      </x:c>
      <x:c r="C23" s="2" t="str">
        <x:v>客户</x:v>
      </x:c>
      <x:c r="D23" s="2" t="str">
        <x:v>P2</x:v>
      </x:c>
      <x:c r="E23" s="2" t="str">
        <x:v>限制</x:v>
      </x:c>
      <x:c r="F23" s="60" t="str">
        <x:v>未配置正式微信 AppID/AppSecret</x:v>
      </x:c>
      <x:c r="G23" s="60" t="str">
        <x:v>正式模式调用微信登录</x:v>
      </x:c>
      <x:c r="H23" s="60" t="str">
        <x:v>无真实凭据</x:v>
      </x:c>
      <x:c r="I23" s="60" t="str">
        <x:v>明确提示未配置或不可用，不伪造登录成功</x:v>
      </x:c>
      <x:c r="J23" s="52" t="str"/>
      <x:c r="K23" s="52" t="str">
        <x:v>未执行</x:v>
      </x:c>
      <x:c r="L23" s="52" t="str"/>
      <x:c r="M23" s="94" t="str"/>
      <x:c r="N23" s="52" t="str"/>
      <x:c r="O23" s="91" t="str"/>
      <x:c r="P23" s="2"/>
      <x:c r="Q23" s="2"/>
    </x:row>
    <x:row r="24" ht="66" customHeight="1">
      <x:c r="A24" s="83" t="str">
        <x:v>ADM-001</x:v>
      </x:c>
      <x:c r="B24" s="2" t="str">
        <x:v>后台工作台</x:v>
      </x:c>
      <x:c r="C24" s="2" t="str">
        <x:v>管理员</x:v>
      </x:c>
      <x:c r="D24" s="2" t="str">
        <x:v>P0</x:v>
      </x:c>
      <x:c r="E24" s="2" t="str">
        <x:v>正向</x:v>
      </x:c>
      <x:c r="F24" s="60" t="str">
        <x:v>管理员已登录</x:v>
      </x:c>
      <x:c r="G24" s="60" t="str">
        <x:v>查看工作台统计卡片和最近报单</x:v>
      </x:c>
      <x:c r="H24" s="60" t="str">
        <x:v>无</x:v>
      </x:c>
      <x:c r="I24" s="60" t="str">
        <x:v>统计、最近报单、待办区可加载且与接口返回一致</x:v>
      </x:c>
      <x:c r="J24" s="52" t="str"/>
      <x:c r="K24" s="52" t="str">
        <x:v>未执行</x:v>
      </x:c>
      <x:c r="L24" s="52" t="str"/>
      <x:c r="M24" s="94" t="str"/>
      <x:c r="N24" s="52" t="str"/>
      <x:c r="O24" s="91" t="str"/>
      <x:c r="P24" s="2"/>
      <x:c r="Q24" s="2"/>
    </x:row>
    <x:row r="25" ht="66" customHeight="1">
      <x:c r="A25" s="83" t="str">
        <x:v>ADM-002</x:v>
      </x:c>
      <x:c r="B25" s="2" t="str">
        <x:v>后台工作台</x:v>
      </x:c>
      <x:c r="C25" s="2" t="str">
        <x:v>管理员</x:v>
      </x:c>
      <x:c r="D25" s="2" t="str">
        <x:v>P1</x:v>
      </x:c>
      <x:c r="E25" s="2" t="str">
        <x:v>交互</x:v>
      </x:c>
      <x:c r="F25" s="60" t="str">
        <x:v>管理员已登录</x:v>
      </x:c>
      <x:c r="G25" s="60" t="str">
        <x:v>依次点击侧边栏：运营工作台、报单管理、客户资料、数据导出、业务模板、团队与权限</x:v>
      </x:c>
      <x:c r="H25" s="60" t="str">
        <x:v>无</x:v>
      </x:c>
      <x:c r="I25" s="60" t="str">
        <x:v>每项均切换到正确路由，当前项高亮，无无响应</x:v>
      </x:c>
      <x:c r="J25" s="52" t="str"/>
      <x:c r="K25" s="52" t="str">
        <x:v>未执行</x:v>
      </x:c>
      <x:c r="L25" s="52" t="str"/>
      <x:c r="M25" s="94" t="str"/>
      <x:c r="N25" s="52" t="str"/>
      <x:c r="O25" s="91" t="str"/>
      <x:c r="P25" s="2"/>
      <x:c r="Q25" s="2"/>
    </x:row>
    <x:row r="26" ht="66" customHeight="1">
      <x:c r="A26" s="83" t="str">
        <x:v>ADM-003</x:v>
      </x:c>
      <x:c r="B26" s="2" t="str">
        <x:v>后台工作台</x:v>
      </x:c>
      <x:c r="C26" s="2" t="str">
        <x:v>管理员</x:v>
      </x:c>
      <x:c r="D26" s="2" t="str">
        <x:v>P1</x:v>
      </x:c>
      <x:c r="E26" s="2" t="str">
        <x:v>视觉</x:v>
      </x:c>
      <x:c r="F26" s="60" t="str">
        <x:v>管理员已登录</x:v>
      </x:c>
      <x:c r="G26" s="60" t="str">
        <x:v>检查首页卡片、侧边栏、按钮和图标</x:v>
      </x:c>
      <x:c r="H26" s="60" t="str">
        <x:v>1440×900、1280×720</x:v>
      </x:c>
      <x:c r="I26" s="60" t="str">
        <x:v>图标语义一致、无乱码/错位/溢出</x:v>
      </x:c>
      <x:c r="J26" s="52" t="str"/>
      <x:c r="K26" s="52" t="str">
        <x:v>未执行</x:v>
      </x:c>
      <x:c r="L26" s="52" t="str"/>
      <x:c r="M26" s="94" t="str"/>
      <x:c r="N26" s="52" t="str"/>
      <x:c r="O26" s="91" t="str"/>
      <x:c r="P26" s="2"/>
      <x:c r="Q26" s="2"/>
    </x:row>
    <x:row r="27" ht="66" customHeight="1">
      <x:c r="A27" s="83" t="str">
        <x:v>ADM-004</x:v>
      </x:c>
      <x:c r="B27" s="2" t="str">
        <x:v>后台工作台</x:v>
      </x:c>
      <x:c r="C27" s="2" t="str">
        <x:v>管理员</x:v>
      </x:c>
      <x:c r="D27" s="2" t="str">
        <x:v>P2</x:v>
      </x:c>
      <x:c r="E27" s="2" t="str">
        <x:v>交互</x:v>
      </x:c>
      <x:c r="F27" s="60" t="str">
        <x:v>工作台已加载</x:v>
      </x:c>
      <x:c r="G27" s="60" t="str">
        <x:v>点击最近报单或待办入口</x:v>
      </x:c>
      <x:c r="H27" s="60" t="str">
        <x:v>已有报单</x:v>
      </x:c>
      <x:c r="I27" s="60" t="str">
        <x:v>进入对应报单详情或列表筛选</x:v>
      </x:c>
      <x:c r="J27" s="52" t="str"/>
      <x:c r="K27" s="52" t="str">
        <x:v>未执行</x:v>
      </x:c>
      <x:c r="L27" s="52" t="str"/>
      <x:c r="M27" s="94" t="str"/>
      <x:c r="N27" s="52" t="str"/>
      <x:c r="O27" s="91" t="str"/>
      <x:c r="P27" s="2"/>
      <x:c r="Q27" s="2"/>
    </x:row>
    <x:row r="28" ht="66" customHeight="1">
      <x:c r="A28" s="83" t="str">
        <x:v>ADM-005</x:v>
      </x:c>
      <x:c r="B28" s="2" t="str">
        <x:v>后台工作台</x:v>
      </x:c>
      <x:c r="C28" s="2" t="str">
        <x:v>管理员</x:v>
      </x:c>
      <x:c r="D28" s="2" t="str">
        <x:v>P1</x:v>
      </x:c>
      <x:c r="E28" s="2" t="str">
        <x:v>边界</x:v>
      </x:c>
      <x:c r="F28" s="60" t="str">
        <x:v>后台任意页</x:v>
      </x:c>
      <x:c r="G28" s="60" t="str">
        <x:v>刷新当前深层路由，例如 /companies</x:v>
      </x:c>
      <x:c r="H28" s="60" t="str">
        <x:v>无</x:v>
      </x:c>
      <x:c r="I28" s="60" t="str">
        <x:v>页面仍停留相应模块，不跳错误页</x:v>
      </x:c>
      <x:c r="J28" s="52" t="str"/>
      <x:c r="K28" s="52" t="str">
        <x:v>未执行</x:v>
      </x:c>
      <x:c r="L28" s="52" t="str"/>
      <x:c r="M28" s="94" t="str"/>
      <x:c r="N28" s="52" t="str"/>
      <x:c r="O28" s="91" t="str"/>
      <x:c r="P28" s="2"/>
      <x:c r="Q28" s="2"/>
    </x:row>
    <x:row r="29" ht="66" customHeight="1">
      <x:c r="A29" s="83" t="str">
        <x:v>ADM-006</x:v>
      </x:c>
      <x:c r="B29" s="2" t="str">
        <x:v>后台工作台</x:v>
      </x:c>
      <x:c r="C29" s="2" t="str">
        <x:v>管理员</x:v>
      </x:c>
      <x:c r="D29" s="2" t="str">
        <x:v>P2</x:v>
      </x:c>
      <x:c r="E29" s="2" t="str">
        <x:v>异常</x:v>
      </x:c>
      <x:c r="F29" s="60" t="str">
        <x:v>网络面板可操作</x:v>
      </x:c>
      <x:c r="G29" s="60" t="str">
        <x:v>短暂停止后端后刷新列表，再恢复后端</x:v>
      </x:c>
      <x:c r="H29" s="60" t="str">
        <x:v>无</x:v>
      </x:c>
      <x:c r="I29" s="60" t="str">
        <x:v>显示可理解错误/空态；后端恢复后可重试，不永久白屏</x:v>
      </x:c>
      <x:c r="J29" s="52" t="str"/>
      <x:c r="K29" s="52" t="str">
        <x:v>未执行</x:v>
      </x:c>
      <x:c r="L29" s="52" t="str"/>
      <x:c r="M29" s="94" t="str"/>
      <x:c r="N29" s="52" t="str"/>
      <x:c r="O29" s="91" t="str"/>
      <x:c r="P29" s="2"/>
      <x:c r="Q29" s="2"/>
    </x:row>
    <x:row r="30" ht="66" customHeight="1">
      <x:c r="A30" s="83" t="str">
        <x:v>COM-001</x:v>
      </x:c>
      <x:c r="B30" s="2" t="str">
        <x:v>客户资料</x:v>
      </x:c>
      <x:c r="C30" s="2" t="str">
        <x:v>管理员</x:v>
      </x:c>
      <x:c r="D30" s="2" t="str">
        <x:v>P0</x:v>
      </x:c>
      <x:c r="E30" s="2" t="str">
        <x:v>正向</x:v>
      </x:c>
      <x:c r="F30" s="60" t="str">
        <x:v>管理员已登录</x:v>
      </x:c>
      <x:c r="G30" s="60" t="str">
        <x:v>打开客户资料列表</x:v>
      </x:c>
      <x:c r="H30" s="60" t="str">
        <x:v>无</x:v>
      </x:c>
      <x:c r="I30" s="60" t="str">
        <x:v>企业列表、分页、搜索区和三点菜单正常显示</x:v>
      </x:c>
      <x:c r="J30" s="52" t="str"/>
      <x:c r="K30" s="52" t="str">
        <x:v>未执行</x:v>
      </x:c>
      <x:c r="L30" s="52" t="str"/>
      <x:c r="M30" s="94" t="str"/>
      <x:c r="N30" s="52" t="str"/>
      <x:c r="O30" s="91" t="str"/>
      <x:c r="P30" s="2"/>
      <x:c r="Q30" s="2"/>
    </x:row>
    <x:row r="31" ht="66" customHeight="1">
      <x:c r="A31" s="83" t="str">
        <x:v>COM-002</x:v>
      </x:c>
      <x:c r="B31" s="2" t="str">
        <x:v>客户资料</x:v>
      </x:c>
      <x:c r="C31" s="2" t="str">
        <x:v>管理员</x:v>
      </x:c>
      <x:c r="D31" s="2" t="str">
        <x:v>P1</x:v>
      </x:c>
      <x:c r="E31" s="2" t="str">
        <x:v>正向</x:v>
      </x:c>
      <x:c r="F31" s="60" t="str">
        <x:v>客户列表有数据</x:v>
      </x:c>
      <x:c r="G31" s="60" t="str">
        <x:v>按企业名称/统一信用代码搜索</x:v>
      </x:c>
      <x:c r="H31" s="60" t="str">
        <x:v>示例科技有限公司</x:v>
      </x:c>
      <x:c r="I31" s="60" t="str">
        <x:v>结果仅包含匹配企业；清空后恢复</x:v>
      </x:c>
      <x:c r="J31" s="52" t="str"/>
      <x:c r="K31" s="52" t="str">
        <x:v>未执行</x:v>
      </x:c>
      <x:c r="L31" s="52" t="str"/>
      <x:c r="M31" s="94" t="str"/>
      <x:c r="N31" s="52" t="str"/>
      <x:c r="O31" s="91" t="str"/>
      <x:c r="P31" s="2"/>
      <x:c r="Q31" s="2"/>
    </x:row>
    <x:row r="32" ht="66" customHeight="1">
      <x:c r="A32" s="83" t="str">
        <x:v>COM-003</x:v>
      </x:c>
      <x:c r="B32" s="2" t="str">
        <x:v>客户资料</x:v>
      </x:c>
      <x:c r="C32" s="2" t="str">
        <x:v>管理员</x:v>
      </x:c>
      <x:c r="D32" s="2" t="str">
        <x:v>P0</x:v>
      </x:c>
      <x:c r="E32" s="2" t="str">
        <x:v>正向</x:v>
      </x:c>
      <x:c r="F32" s="60" t="str">
        <x:v>管理员已登录</x:v>
      </x:c>
      <x:c r="G32" s="60" t="str">
        <x:v>点击新增客户；填写合成资料并保存</x:v>
      </x:c>
      <x:c r="H32" s="60" t="str">
        <x:v>企业名：手工测试企业20261012；信用代码：91430100TEST202610</x:v>
      </x:c>
      <x:c r="I32" s="60" t="str">
        <x:v>创建成功且出现在列表</x:v>
      </x:c>
      <x:c r="J32" s="52" t="str"/>
      <x:c r="K32" s="52" t="str">
        <x:v>未执行</x:v>
      </x:c>
      <x:c r="L32" s="52" t="str"/>
      <x:c r="M32" s="94" t="str"/>
      <x:c r="N32" s="52" t="str"/>
      <x:c r="O32" s="91" t="str"/>
      <x:c r="P32" s="2"/>
      <x:c r="Q32" s="2"/>
    </x:row>
    <x:row r="33" ht="66" customHeight="1">
      <x:c r="A33" s="83" t="str">
        <x:v>COM-004</x:v>
      </x:c>
      <x:c r="B33" s="2" t="str">
        <x:v>客户资料</x:v>
      </x:c>
      <x:c r="C33" s="2" t="str">
        <x:v>管理员</x:v>
      </x:c>
      <x:c r="D33" s="2" t="str">
        <x:v>P0</x:v>
      </x:c>
      <x:c r="E33" s="2" t="str">
        <x:v>正向</x:v>
      </x:c>
      <x:c r="F33" s="60" t="str">
        <x:v>测试企业已创建</x:v>
      </x:c>
      <x:c r="G33" s="60" t="str">
        <x:v>三点菜单选择查看详情</x:v>
      </x:c>
      <x:c r="H33" s="60" t="str">
        <x:v>无</x:v>
      </x:c>
      <x:c r="I33" s="60" t="str">
        <x:v>详情完整展示，敏感字段按权限掩码或受控显示</x:v>
      </x:c>
      <x:c r="J33" s="52" t="str"/>
      <x:c r="K33" s="52" t="str">
        <x:v>未执行</x:v>
      </x:c>
      <x:c r="L33" s="52" t="str"/>
      <x:c r="M33" s="94" t="str"/>
      <x:c r="N33" s="52" t="str"/>
      <x:c r="O33" s="91" t="str"/>
      <x:c r="P33" s="2"/>
      <x:c r="Q33" s="2"/>
    </x:row>
    <x:row r="34" ht="66" customHeight="1">
      <x:c r="A34" s="83" t="str">
        <x:v>COM-005</x:v>
      </x:c>
      <x:c r="B34" s="2" t="str">
        <x:v>客户资料</x:v>
      </x:c>
      <x:c r="C34" s="2" t="str">
        <x:v>管理员</x:v>
      </x:c>
      <x:c r="D34" s="2" t="str">
        <x:v>P0</x:v>
      </x:c>
      <x:c r="E34" s="2" t="str">
        <x:v>正向</x:v>
      </x:c>
      <x:c r="F34" s="60" t="str">
        <x:v>测试企业已创建</x:v>
      </x:c>
      <x:c r="G34" s="60" t="str">
        <x:v>三点菜单选择编辑；修改联系人/邮箱/地址；保存</x:v>
      </x:c>
      <x:c r="H34" s="60" t="str">
        <x:v>联系人：测试联系人B；test@example.invalid</x:v>
      </x:c>
      <x:c r="I34" s="60" t="str">
        <x:v>列表和详情同步更新</x:v>
      </x:c>
      <x:c r="J34" s="52" t="str"/>
      <x:c r="K34" s="52" t="str">
        <x:v>未执行</x:v>
      </x:c>
      <x:c r="L34" s="52" t="str"/>
      <x:c r="M34" s="94" t="str"/>
      <x:c r="N34" s="52" t="str"/>
      <x:c r="O34" s="91" t="str"/>
      <x:c r="P34" s="2"/>
      <x:c r="Q34" s="2"/>
    </x:row>
    <x:row r="35" ht="66" customHeight="1">
      <x:c r="A35" s="83" t="str">
        <x:v>COM-006</x:v>
      </x:c>
      <x:c r="B35" s="2" t="str">
        <x:v>客户资料</x:v>
      </x:c>
      <x:c r="C35" s="2" t="str">
        <x:v>管理员</x:v>
      </x:c>
      <x:c r="D35" s="2" t="str">
        <x:v>P0</x:v>
      </x:c>
      <x:c r="E35" s="2" t="str">
        <x:v>正向</x:v>
      </x:c>
      <x:c r="F35" s="60" t="str">
        <x:v>测试企业已创建</x:v>
      </x:c>
      <x:c r="G35" s="60" t="str">
        <x:v>打开登录账号；创建 CLIENT 账号并关联企业</x:v>
      </x:c>
      <x:c r="H35" s="60" t="str">
        <x:v>manual_client_20261012 / ManualClient-2026!</x:v>
      </x:c>
      <x:c r="I35" s="60" t="str">
        <x:v>账号创建并显示关联关系与成员角色</x:v>
      </x:c>
      <x:c r="J35" s="52" t="str"/>
      <x:c r="K35" s="52" t="str">
        <x:v>未执行</x:v>
      </x:c>
      <x:c r="L35" s="52" t="str"/>
      <x:c r="M35" s="94" t="str"/>
      <x:c r="N35" s="52" t="str"/>
      <x:c r="O35" s="91" t="str"/>
      <x:c r="P35" s="2"/>
      <x:c r="Q35" s="2"/>
    </x:row>
    <x:row r="36" ht="66" customHeight="1">
      <x:c r="A36" s="83" t="str">
        <x:v>COM-007</x:v>
      </x:c>
      <x:c r="B36" s="2" t="str">
        <x:v>客户资料</x:v>
      </x:c>
      <x:c r="C36" s="2" t="str">
        <x:v>管理员</x:v>
      </x:c>
      <x:c r="D36" s="2" t="str">
        <x:v>P1</x:v>
      </x:c>
      <x:c r="E36" s="2" t="str">
        <x:v>正向</x:v>
      </x:c>
      <x:c r="F36" s="60" t="str">
        <x:v>企业已有客户账号</x:v>
      </x:c>
      <x:c r="G36" s="60" t="str">
        <x:v>在登录账号管理中重置密码；用新密码登录小程序</x:v>
      </x:c>
      <x:c r="H36" s="60" t="str">
        <x:v>新密码：ManualClient-2026-New!</x:v>
      </x:c>
      <x:c r="I36" s="60" t="str">
        <x:v>旧密码失效，新密码可登录且只能看到所属企业</x:v>
      </x:c>
      <x:c r="J36" s="52" t="str"/>
      <x:c r="K36" s="52" t="str">
        <x:v>未执行</x:v>
      </x:c>
      <x:c r="L36" s="52" t="str"/>
      <x:c r="M36" s="94" t="str"/>
      <x:c r="N36" s="52" t="str"/>
      <x:c r="O36" s="91" t="str"/>
      <x:c r="P36" s="2"/>
      <x:c r="Q36" s="2"/>
    </x:row>
    <x:row r="37" ht="66" customHeight="1">
      <x:c r="A37" s="83" t="str">
        <x:v>COM-008</x:v>
      </x:c>
      <x:c r="B37" s="2" t="str">
        <x:v>客户资料</x:v>
      </x:c>
      <x:c r="C37" s="2" t="str">
        <x:v>管理员</x:v>
      </x:c>
      <x:c r="D37" s="2" t="str">
        <x:v>P1</x:v>
      </x:c>
      <x:c r="E37" s="2" t="str">
        <x:v>正向</x:v>
      </x:c>
      <x:c r="F37" s="60" t="str">
        <x:v>企业详情可编辑</x:v>
      </x:c>
      <x:c r="G37" s="60" t="str">
        <x:v>添加或更新企业成员及 OWNER/MEMBER 角色</x:v>
      </x:c>
      <x:c r="H37" s="60" t="str">
        <x:v>合成管理员/客户用户 ID</x:v>
      </x:c>
      <x:c r="I37" s="60" t="str">
        <x:v>成员关系保存，列表与权限口径一致</x:v>
      </x:c>
      <x:c r="J37" s="52" t="str"/>
      <x:c r="K37" s="52" t="str">
        <x:v>未执行</x:v>
      </x:c>
      <x:c r="L37" s="52" t="str"/>
      <x:c r="M37" s="94" t="str"/>
      <x:c r="N37" s="52" t="str"/>
      <x:c r="O37" s="91" t="str"/>
      <x:c r="P37" s="2"/>
      <x:c r="Q37" s="2"/>
    </x:row>
    <x:row r="38" ht="66" customHeight="1">
      <x:c r="A38" s="83" t="str">
        <x:v>COM-009</x:v>
      </x:c>
      <x:c r="B38" s="2" t="str">
        <x:v>客户资料</x:v>
      </x:c>
      <x:c r="C38" s="2" t="str">
        <x:v>管理员</x:v>
      </x:c>
      <x:c r="D38" s="2" t="str">
        <x:v>P1</x:v>
      </x:c>
      <x:c r="E38" s="2" t="str">
        <x:v>异常</x:v>
      </x:c>
      <x:c r="F38" s="60" t="str">
        <x:v>新增/编辑弹窗</x:v>
      </x:c>
      <x:c r="G38" s="60" t="str">
        <x:v>使用重复统一信用代码保存</x:v>
      </x:c>
      <x:c r="H38" s="60" t="str">
        <x:v>使用现有信用代码</x:v>
      </x:c>
      <x:c r="I38" s="60" t="str">
        <x:v>给出明确冲突提示，不产生重复企业</x:v>
      </x:c>
      <x:c r="J38" s="52" t="str"/>
      <x:c r="K38" s="52" t="str">
        <x:v>未执行</x:v>
      </x:c>
      <x:c r="L38" s="52" t="str"/>
      <x:c r="M38" s="94" t="str"/>
      <x:c r="N38" s="52" t="str"/>
      <x:c r="O38" s="91" t="str"/>
      <x:c r="P38" s="2"/>
      <x:c r="Q38" s="2"/>
    </x:row>
    <x:row r="39" ht="66" customHeight="1">
      <x:c r="A39" s="83" t="str">
        <x:v>COM-010</x:v>
      </x:c>
      <x:c r="B39" s="2" t="str">
        <x:v>客户资料</x:v>
      </x:c>
      <x:c r="C39" s="2" t="str">
        <x:v>管理员</x:v>
      </x:c>
      <x:c r="D39" s="2" t="str">
        <x:v>P1</x:v>
      </x:c>
      <x:c r="E39" s="2" t="str">
        <x:v>异常</x:v>
      </x:c>
      <x:c r="F39" s="60" t="str">
        <x:v>测试企业存在未完成报单</x:v>
      </x:c>
      <x:c r="G39" s="60" t="str">
        <x:v>三点菜单尝试删除企业</x:v>
      </x:c>
      <x:c r="H39" s="60" t="str">
        <x:v>无</x:v>
      </x:c>
      <x:c r="I39" s="60" t="str">
        <x:v>按业务规则拒绝删除并说明未完成报单</x:v>
      </x:c>
      <x:c r="J39" s="52" t="str"/>
      <x:c r="K39" s="52" t="str">
        <x:v>未执行</x:v>
      </x:c>
      <x:c r="L39" s="52" t="str"/>
      <x:c r="M39" s="94" t="str"/>
      <x:c r="N39" s="52" t="str"/>
      <x:c r="O39" s="91" t="str"/>
      <x:c r="P39" s="2"/>
      <x:c r="Q39" s="2"/>
    </x:row>
    <x:row r="40" ht="66" customHeight="1">
      <x:c r="A40" s="83" t="str">
        <x:v>COM-011</x:v>
      </x:c>
      <x:c r="B40" s="2" t="str">
        <x:v>客户资料</x:v>
      </x:c>
      <x:c r="C40" s="2" t="str">
        <x:v>管理员</x:v>
      </x:c>
      <x:c r="D40" s="2" t="str">
        <x:v>P1</x:v>
      </x:c>
      <x:c r="E40" s="2" t="str">
        <x:v>正向</x:v>
      </x:c>
      <x:c r="F40" s="60" t="str">
        <x:v>测试企业无未完成报单</x:v>
      </x:c>
      <x:c r="G40" s="60" t="str">
        <x:v>三点菜单选择删除；二次确认</x:v>
      </x:c>
      <x:c r="H40" s="60" t="str">
        <x:v>无</x:v>
      </x:c>
      <x:c r="I40" s="60" t="str">
        <x:v>企业软删除，默认列表不再显示，历史审计保留</x:v>
      </x:c>
      <x:c r="J40" s="52" t="str"/>
      <x:c r="K40" s="52" t="str">
        <x:v>未执行</x:v>
      </x:c>
      <x:c r="L40" s="52" t="str"/>
      <x:c r="M40" s="94" t="str"/>
      <x:c r="N40" s="52" t="str"/>
      <x:c r="O40" s="91" t="str"/>
      <x:c r="P40" s="2"/>
      <x:c r="Q40" s="2"/>
    </x:row>
    <x:row r="41" ht="66" customHeight="1">
      <x:c r="A41" s="83" t="str">
        <x:v>COM-012</x:v>
      </x:c>
      <x:c r="B41" s="2" t="str">
        <x:v>客户资料</x:v>
      </x:c>
      <x:c r="C41" s="2" t="str">
        <x:v>管理员</x:v>
      </x:c>
      <x:c r="D41" s="2" t="str">
        <x:v>P2</x:v>
      </x:c>
      <x:c r="E41" s="2" t="str">
        <x:v>视觉</x:v>
      </x:c>
      <x:c r="F41" s="60" t="str">
        <x:v>打开新增/编辑/账号弹窗</x:v>
      </x:c>
      <x:c r="G41" s="60" t="str">
        <x:v>缩放浏览器至 80% 和 125%</x:v>
      </x:c>
      <x:c r="H41" s="60" t="str">
        <x:v>无</x:v>
      </x:c>
      <x:c r="I41" s="60" t="str">
        <x:v>弹窗、输入框、按钮不溢出，底部操作可见</x:v>
      </x:c>
      <x:c r="J41" s="52" t="str"/>
      <x:c r="K41" s="52" t="str">
        <x:v>未执行</x:v>
      </x:c>
      <x:c r="L41" s="52" t="str"/>
      <x:c r="M41" s="94" t="str"/>
      <x:c r="N41" s="52" t="str"/>
      <x:c r="O41" s="91" t="str"/>
      <x:c r="P41" s="2"/>
      <x:c r="Q41" s="2"/>
    </x:row>
    <x:row r="42" ht="66" customHeight="1">
      <x:c r="A42" s="83" t="str">
        <x:v>TEAM-001</x:v>
      </x:c>
      <x:c r="B42" s="2" t="str">
        <x:v>团队与权限</x:v>
      </x:c>
      <x:c r="C42" s="2" t="str">
        <x:v>超级管理员</x:v>
      </x:c>
      <x:c r="D42" s="2" t="str">
        <x:v>P0</x:v>
      </x:c>
      <x:c r="E42" s="2" t="str">
        <x:v>正向</x:v>
      </x:c>
      <x:c r="F42" s="60" t="str">
        <x:v>使用超级管理员登录</x:v>
      </x:c>
      <x:c r="G42" s="60" t="str">
        <x:v>进入团队与权限</x:v>
      </x:c>
      <x:c r="H42" s="60" t="str">
        <x:v>无</x:v>
      </x:c>
      <x:c r="I42" s="60" t="str">
        <x:v>成员列表、角色统计、权限说明正常显示</x:v>
      </x:c>
      <x:c r="J42" s="52" t="str"/>
      <x:c r="K42" s="52" t="str">
        <x:v>未执行</x:v>
      </x:c>
      <x:c r="L42" s="52" t="str"/>
      <x:c r="M42" s="94" t="str"/>
      <x:c r="N42" s="52" t="str"/>
      <x:c r="O42" s="91" t="str"/>
      <x:c r="P42" s="2"/>
      <x:c r="Q42" s="2"/>
    </x:row>
    <x:row r="43" ht="66" customHeight="1">
      <x:c r="A43" s="83" t="str">
        <x:v>TEAM-002</x:v>
      </x:c>
      <x:c r="B43" s="2" t="str">
        <x:v>团队与权限</x:v>
      </x:c>
      <x:c r="C43" s="2" t="str">
        <x:v>超级管理员</x:v>
      </x:c>
      <x:c r="D43" s="2" t="str">
        <x:v>P0</x:v>
      </x:c>
      <x:c r="E43" s="2" t="str">
        <x:v>正向</x:v>
      </x:c>
      <x:c r="F43" s="60" t="str">
        <x:v>团队页</x:v>
      </x:c>
      <x:c r="G43" s="60" t="str">
        <x:v>创建一个合成后台账号</x:v>
      </x:c>
      <x:c r="H43" s="60" t="str">
        <x:v>qa_operator_20261012 / QaOperator-2026!</x:v>
      </x:c>
      <x:c r="I43" s="60" t="str">
        <x:v>账号创建成功，类型为 ADMIN</x:v>
      </x:c>
      <x:c r="J43" s="52" t="str"/>
      <x:c r="K43" s="52" t="str">
        <x:v>未执行</x:v>
      </x:c>
      <x:c r="L43" s="52" t="str"/>
      <x:c r="M43" s="94" t="str"/>
      <x:c r="N43" s="52" t="str"/>
      <x:c r="O43" s="91" t="str"/>
      <x:c r="P43" s="2"/>
      <x:c r="Q43" s="2"/>
    </x:row>
    <x:row r="44" ht="66" customHeight="1">
      <x:c r="A44" s="83" t="str">
        <x:v>TEAM-003</x:v>
      </x:c>
      <x:c r="B44" s="2" t="str">
        <x:v>团队与权限</x:v>
      </x:c>
      <x:c r="C44" s="2" t="str">
        <x:v>超级管理员</x:v>
      </x:c>
      <x:c r="D44" s="2" t="str">
        <x:v>P0</x:v>
      </x:c>
      <x:c r="E44" s="2" t="str">
        <x:v>正向</x:v>
      </x:c>
      <x:c r="F44" s="60" t="str">
        <x:v>合成后台账号存在</x:v>
      </x:c>
      <x:c r="G44" s="60" t="str">
        <x:v>为账号分配运营/审核等角色</x:v>
      </x:c>
      <x:c r="H44" s="60" t="str">
        <x:v>按页面可选角色</x:v>
      </x:c>
      <x:c r="I44" s="60" t="str">
        <x:v>角色保存；重新登录后菜单权限按角色生效</x:v>
      </x:c>
      <x:c r="J44" s="52" t="str"/>
      <x:c r="K44" s="52" t="str">
        <x:v>未执行</x:v>
      </x:c>
      <x:c r="L44" s="52" t="str"/>
      <x:c r="M44" s="94" t="str"/>
      <x:c r="N44" s="52" t="str"/>
      <x:c r="O44" s="91" t="str"/>
      <x:c r="P44" s="2"/>
      <x:c r="Q44" s="2"/>
    </x:row>
    <x:row r="45" ht="66" customHeight="1">
      <x:c r="A45" s="83" t="str">
        <x:v>TEAM-004</x:v>
      </x:c>
      <x:c r="B45" s="2" t="str">
        <x:v>团队与权限</x:v>
      </x:c>
      <x:c r="C45" s="2" t="str">
        <x:v>超级管理员</x:v>
      </x:c>
      <x:c r="D45" s="2" t="str">
        <x:v>P1</x:v>
      </x:c>
      <x:c r="E45" s="2" t="str">
        <x:v>正向</x:v>
      </x:c>
      <x:c r="F45" s="60" t="str">
        <x:v>合成账号存在</x:v>
      </x:c>
      <x:c r="G45" s="60" t="str">
        <x:v>使用通用密码重置功能或接口重置密码</x:v>
      </x:c>
      <x:c r="H45" s="60" t="str">
        <x:v>新密码：QaOperator-New-2026!</x:v>
      </x:c>
      <x:c r="I45" s="60" t="str">
        <x:v>旧密码失效，新密码生效</x:v>
      </x:c>
      <x:c r="J45" s="52" t="str"/>
      <x:c r="K45" s="52" t="str">
        <x:v>未执行</x:v>
      </x:c>
      <x:c r="L45" s="52" t="str"/>
      <x:c r="M45" s="94" t="str"/>
      <x:c r="N45" s="52" t="str"/>
      <x:c r="O45" s="91" t="str"/>
      <x:c r="P45" s="2"/>
      <x:c r="Q45" s="2"/>
    </x:row>
    <x:row r="46" ht="66" customHeight="1">
      <x:c r="A46" s="83" t="str">
        <x:v>TEAM-005</x:v>
      </x:c>
      <x:c r="B46" s="2" t="str">
        <x:v>团队与权限</x:v>
      </x:c>
      <x:c r="C46" s="2" t="str">
        <x:v>受限管理员</x:v>
      </x:c>
      <x:c r="D46" s="2" t="str">
        <x:v>P0</x:v>
      </x:c>
      <x:c r="E46" s="2" t="str">
        <x:v>权限</x:v>
      </x:c>
      <x:c r="F46" s="60" t="str">
        <x:v>使用非 SUPER_ADMIN 账号</x:v>
      </x:c>
      <x:c r="G46" s="60" t="str">
        <x:v>直接访问 /team</x:v>
      </x:c>
      <x:c r="H46" s="60" t="str">
        <x:v>无</x:v>
      </x:c>
      <x:c r="I46" s="60" t="str">
        <x:v>进入 403/无权限页，不泄露成员数据</x:v>
      </x:c>
      <x:c r="J46" s="52" t="str"/>
      <x:c r="K46" s="52" t="str">
        <x:v>未执行</x:v>
      </x:c>
      <x:c r="L46" s="52" t="str"/>
      <x:c r="M46" s="94" t="str"/>
      <x:c r="N46" s="52" t="str"/>
      <x:c r="O46" s="91" t="str"/>
      <x:c r="P46" s="2"/>
      <x:c r="Q46" s="2"/>
    </x:row>
    <x:row r="47" ht="66" customHeight="1">
      <x:c r="A47" s="83" t="str">
        <x:v>TEAM-006</x:v>
      </x:c>
      <x:c r="B47" s="2" t="str">
        <x:v>团队与权限</x:v>
      </x:c>
      <x:c r="C47" s="2" t="str">
        <x:v>受限管理员</x:v>
      </x:c>
      <x:c r="D47" s="2" t="str">
        <x:v>P1</x:v>
      </x:c>
      <x:c r="E47" s="2" t="str">
        <x:v>权限</x:v>
      </x:c>
      <x:c r="F47" s="60" t="str">
        <x:v>使用只读/局部角色</x:v>
      </x:c>
      <x:c r="G47" s="60" t="str">
        <x:v>访问无权限的报单审核、产品发布、导出操作</x:v>
      </x:c>
      <x:c r="H47" s="60" t="str">
        <x:v>无</x:v>
      </x:c>
      <x:c r="I47" s="60" t="str">
        <x:v>按钮隐藏或接口返回 403，不能越权</x:v>
      </x:c>
      <x:c r="J47" s="52" t="str"/>
      <x:c r="K47" s="52" t="str">
        <x:v>未执行</x:v>
      </x:c>
      <x:c r="L47" s="52" t="str"/>
      <x:c r="M47" s="94" t="str"/>
      <x:c r="N47" s="52" t="str"/>
      <x:c r="O47" s="91" t="str"/>
      <x:c r="P47" s="2"/>
      <x:c r="Q47" s="2"/>
    </x:row>
    <x:row r="48" ht="66" customHeight="1">
      <x:c r="A48" s="83" t="str">
        <x:v>TEAM-007</x:v>
      </x:c>
      <x:c r="B48" s="2" t="str">
        <x:v>团队与权限</x:v>
      </x:c>
      <x:c r="C48" s="2" t="str">
        <x:v>超级管理员</x:v>
      </x:c>
      <x:c r="D48" s="2" t="str">
        <x:v>P1</x:v>
      </x:c>
      <x:c r="E48" s="2" t="str">
        <x:v>边界</x:v>
      </x:c>
      <x:c r="F48" s="60" t="str">
        <x:v>角色编辑</x:v>
      </x:c>
      <x:c r="G48" s="60" t="str">
        <x:v>移除某角色后刷新并重新登录</x:v>
      </x:c>
      <x:c r="H48" s="60" t="str">
        <x:v>无</x:v>
      </x:c>
      <x:c r="I48" s="60" t="str">
        <x:v>权限实时按后端结果收敛，不依赖旧缓存</x:v>
      </x:c>
      <x:c r="J48" s="52" t="str"/>
      <x:c r="K48" s="52" t="str">
        <x:v>未执行</x:v>
      </x:c>
      <x:c r="L48" s="52" t="str"/>
      <x:c r="M48" s="94" t="str"/>
      <x:c r="N48" s="52" t="str"/>
      <x:c r="O48" s="91" t="str"/>
      <x:c r="P48" s="2"/>
      <x:c r="Q48" s="2"/>
    </x:row>
    <x:row r="49" ht="66" customHeight="1">
      <x:c r="A49" s="83" t="str">
        <x:v>TEAM-008</x:v>
      </x:c>
      <x:c r="B49" s="2" t="str">
        <x:v>团队与权限</x:v>
      </x:c>
      <x:c r="C49" s="2" t="str">
        <x:v>超级管理员</x:v>
      </x:c>
      <x:c r="D49" s="2" t="str">
        <x:v>P2</x:v>
      </x:c>
      <x:c r="E49" s="2" t="str">
        <x:v>异常</x:v>
      </x:c>
      <x:c r="F49" s="60" t="str">
        <x:v>创建账号弹窗</x:v>
      </x:c>
      <x:c r="G49" s="60" t="str">
        <x:v>提交重复用户名或不足 12 位管理员密码</x:v>
      </x:c>
      <x:c r="H49" s="60" t="str">
        <x:v>重复用户名；短密码</x:v>
      </x:c>
      <x:c r="I49" s="60" t="str">
        <x:v>明确提示且不创建脏数据</x:v>
      </x:c>
      <x:c r="J49" s="52" t="str"/>
      <x:c r="K49" s="52" t="str">
        <x:v>未执行</x:v>
      </x:c>
      <x:c r="L49" s="52" t="str"/>
      <x:c r="M49" s="94" t="str"/>
      <x:c r="N49" s="52" t="str"/>
      <x:c r="O49" s="91" t="str"/>
      <x:c r="P49" s="2"/>
      <x:c r="Q49" s="2"/>
    </x:row>
    <x:row r="50" ht="66" customHeight="1">
      <x:c r="A50" s="83" t="str">
        <x:v>PROD-001</x:v>
      </x:c>
      <x:c r="B50" s="2" t="str">
        <x:v>业务模板</x:v>
      </x:c>
      <x:c r="C50" s="2" t="str">
        <x:v>管理员</x:v>
      </x:c>
      <x:c r="D50" s="2" t="str">
        <x:v>P0</x:v>
      </x:c>
      <x:c r="E50" s="2" t="str">
        <x:v>正向</x:v>
      </x:c>
      <x:c r="F50" s="60" t="str">
        <x:v>管理员有 product:view</x:v>
      </x:c>
      <x:c r="G50" s="60" t="str">
        <x:v>进入业务模板页</x:v>
      </x:c>
      <x:c r="H50" s="60" t="str">
        <x:v>无</x:v>
      </x:c>
      <x:c r="I50" s="60" t="str">
        <x:v>产品卡片/列表与模板详情区正常显示，可点击</x:v>
      </x:c>
      <x:c r="J50" s="52" t="str"/>
      <x:c r="K50" s="52" t="str">
        <x:v>未执行</x:v>
      </x:c>
      <x:c r="L50" s="52" t="str"/>
      <x:c r="M50" s="94" t="str"/>
      <x:c r="N50" s="52" t="str"/>
      <x:c r="O50" s="91" t="str"/>
      <x:c r="P50" s="2"/>
      <x:c r="Q50" s="2"/>
    </x:row>
    <x:row r="51" ht="66" customHeight="1">
      <x:c r="A51" s="83" t="str">
        <x:v>PROD-002</x:v>
      </x:c>
      <x:c r="B51" s="2" t="str">
        <x:v>业务模板</x:v>
      </x:c>
      <x:c r="C51" s="2" t="str">
        <x:v>管理员</x:v>
      </x:c>
      <x:c r="D51" s="2" t="str">
        <x:v>P1</x:v>
      </x:c>
      <x:c r="E51" s="2" t="str">
        <x:v>交互</x:v>
      </x:c>
      <x:c r="F51" s="60" t="str">
        <x:v>业务模板页</x:v>
      </x:c>
      <x:c r="G51" s="60" t="str">
        <x:v>点击不同服务产品、模板详情、关闭详情</x:v>
      </x:c>
      <x:c r="H51" s="60" t="str">
        <x:v>无</x:v>
      </x:c>
      <x:c r="I51" s="60" t="str">
        <x:v>选中态正确，详情切换/关闭正常</x:v>
      </x:c>
      <x:c r="J51" s="52" t="str"/>
      <x:c r="K51" s="52" t="str">
        <x:v>未执行</x:v>
      </x:c>
      <x:c r="L51" s="52" t="str"/>
      <x:c r="M51" s="94" t="str"/>
      <x:c r="N51" s="52" t="str"/>
      <x:c r="O51" s="91" t="str"/>
      <x:c r="P51" s="2"/>
      <x:c r="Q51" s="2"/>
    </x:row>
    <x:row r="52" ht="66" customHeight="1">
      <x:c r="A52" s="83" t="str">
        <x:v>PROD-003</x:v>
      </x:c>
      <x:c r="B52" s="2" t="str">
        <x:v>业务模板</x:v>
      </x:c>
      <x:c r="C52" s="2" t="str">
        <x:v>管理员</x:v>
      </x:c>
      <x:c r="D52" s="2" t="str">
        <x:v>P0</x:v>
      </x:c>
      <x:c r="E52" s="2" t="str">
        <x:v>正向</x:v>
      </x:c>
      <x:c r="F52" s="60" t="str">
        <x:v>有产品维护权限</x:v>
      </x:c>
      <x:c r="G52" s="60" t="str">
        <x:v>创建服务产品</x:v>
      </x:c>
      <x:c r="H52" s="60" t="str">
        <x:v>编码 TEST_SERVICE_20261012；名称：手工测试服务</x:v>
      </x:c>
      <x:c r="I52" s="60" t="str">
        <x:v>创建成功，默认未发布</x:v>
      </x:c>
      <x:c r="J52" s="52" t="str"/>
      <x:c r="K52" s="52" t="str">
        <x:v>未执行</x:v>
      </x:c>
      <x:c r="L52" s="52" t="str"/>
      <x:c r="M52" s="94" t="str"/>
      <x:c r="N52" s="52" t="str"/>
      <x:c r="O52" s="91" t="str"/>
      <x:c r="P52" s="2"/>
      <x:c r="Q52" s="2"/>
    </x:row>
    <x:row r="53" ht="66" customHeight="1">
      <x:c r="A53" s="83" t="str">
        <x:v>PROD-004</x:v>
      </x:c>
      <x:c r="B53" s="2" t="str">
        <x:v>业务模板</x:v>
      </x:c>
      <x:c r="C53" s="2" t="str">
        <x:v>管理员</x:v>
      </x:c>
      <x:c r="D53" s="2" t="str">
        <x:v>P0</x:v>
      </x:c>
      <x:c r="E53" s="2" t="str">
        <x:v>正向</x:v>
      </x:c>
      <x:c r="F53" s="60" t="str">
        <x:v>测试产品存在</x:v>
      </x:c>
      <x:c r="G53" s="60" t="str">
        <x:v>编辑名称、说明、服务类型等字段</x:v>
      </x:c>
      <x:c r="H53" s="60" t="str">
        <x:v>合成内容</x:v>
      </x:c>
      <x:c r="I53" s="60" t="str">
        <x:v>保存后列表和详情更新</x:v>
      </x:c>
      <x:c r="J53" s="52" t="str"/>
      <x:c r="K53" s="52" t="str">
        <x:v>未执行</x:v>
      </x:c>
      <x:c r="L53" s="52" t="str"/>
      <x:c r="M53" s="94" t="str"/>
      <x:c r="N53" s="52" t="str"/>
      <x:c r="O53" s="91" t="str"/>
      <x:c r="P53" s="2"/>
      <x:c r="Q53" s="2"/>
    </x:row>
    <x:row r="54" ht="66" customHeight="1">
      <x:c r="A54" s="83" t="str">
        <x:v>PROD-005</x:v>
      </x:c>
      <x:c r="B54" s="2" t="str">
        <x:v>业务模板</x:v>
      </x:c>
      <x:c r="C54" s="2" t="str">
        <x:v>管理员</x:v>
      </x:c>
      <x:c r="D54" s="2" t="str">
        <x:v>P0</x:v>
      </x:c>
      <x:c r="E54" s="2" t="str">
        <x:v>正向</x:v>
      </x:c>
      <x:c r="F54" s="60" t="str">
        <x:v>测试产品存在</x:v>
      </x:c>
      <x:c r="G54" s="60" t="str">
        <x:v>创建资料模板新版本并增加文字/文件项</x:v>
      </x:c>
      <x:c r="H54" s="60" t="str">
        <x:v>版本说明：手工测试 v1</x:v>
      </x:c>
      <x:c r="I54" s="60" t="str">
        <x:v>版本创建成功，旧版本不被覆盖</x:v>
      </x:c>
      <x:c r="J54" s="52" t="str"/>
      <x:c r="K54" s="52" t="str">
        <x:v>未执行</x:v>
      </x:c>
      <x:c r="L54" s="52" t="str"/>
      <x:c r="M54" s="94" t="str"/>
      <x:c r="N54" s="52" t="str"/>
      <x:c r="O54" s="91" t="str"/>
      <x:c r="P54" s="2"/>
      <x:c r="Q54" s="2"/>
    </x:row>
    <x:row r="55" ht="66" customHeight="1">
      <x:c r="A55" s="83" t="str">
        <x:v>PROD-006</x:v>
      </x:c>
      <x:c r="B55" s="2" t="str">
        <x:v>业务模板</x:v>
      </x:c>
      <x:c r="C55" s="2" t="str">
        <x:v>管理员</x:v>
      </x:c>
      <x:c r="D55" s="2" t="str">
        <x:v>P0</x:v>
      </x:c>
      <x:c r="E55" s="2" t="str">
        <x:v>正向</x:v>
      </x:c>
      <x:c r="F55" s="60" t="str">
        <x:v>模板版本校验通过</x:v>
      </x:c>
      <x:c r="G55" s="60" t="str">
        <x:v>发布模板版本，再发布产品</x:v>
      </x:c>
      <x:c r="H55" s="60" t="str">
        <x:v>无</x:v>
      </x:c>
      <x:c r="I55" s="60" t="str">
        <x:v>产品在客户端服务目录可见并绑定已发布模板</x:v>
      </x:c>
      <x:c r="J55" s="52" t="str"/>
      <x:c r="K55" s="52" t="str">
        <x:v>未执行</x:v>
      </x:c>
      <x:c r="L55" s="52" t="str"/>
      <x:c r="M55" s="94" t="str"/>
      <x:c r="N55" s="52" t="str"/>
      <x:c r="O55" s="91" t="str"/>
      <x:c r="P55" s="2"/>
      <x:c r="Q55" s="2"/>
    </x:row>
    <x:row r="56" ht="66" customHeight="1">
      <x:c r="A56" s="83" t="str">
        <x:v>PROD-007</x:v>
      </x:c>
      <x:c r="B56" s="2" t="str">
        <x:v>业务模板</x:v>
      </x:c>
      <x:c r="C56" s="2" t="str">
        <x:v>管理员</x:v>
      </x:c>
      <x:c r="D56" s="2" t="str">
        <x:v>P1</x:v>
      </x:c>
      <x:c r="E56" s="2" t="str">
        <x:v>正向</x:v>
      </x:c>
      <x:c r="F56" s="60" t="str">
        <x:v>产品已发布</x:v>
      </x:c>
      <x:c r="G56" s="60" t="str">
        <x:v>执行下架；刷新小程序目录</x:v>
      </x:c>
      <x:c r="H56" s="60" t="str">
        <x:v>无</x:v>
      </x:c>
      <x:c r="I56" s="60" t="str">
        <x:v>后台状态为未发布；客户端不再展示或不可新建</x:v>
      </x:c>
      <x:c r="J56" s="52" t="str"/>
      <x:c r="K56" s="52" t="str">
        <x:v>未执行</x:v>
      </x:c>
      <x:c r="L56" s="52" t="str"/>
      <x:c r="M56" s="94" t="str"/>
      <x:c r="N56" s="52" t="str"/>
      <x:c r="O56" s="91" t="str"/>
      <x:c r="P56" s="2"/>
      <x:c r="Q56" s="2"/>
    </x:row>
    <x:row r="57" ht="66" customHeight="1">
      <x:c r="A57" s="83" t="str">
        <x:v>PROD-008</x:v>
      </x:c>
      <x:c r="B57" s="2" t="str">
        <x:v>业务模板</x:v>
      </x:c>
      <x:c r="C57" s="2" t="str">
        <x:v>管理员</x:v>
      </x:c>
      <x:c r="D57" s="2" t="str">
        <x:v>P1</x:v>
      </x:c>
      <x:c r="E57" s="2" t="str">
        <x:v>异常</x:v>
      </x:c>
      <x:c r="F57" s="60" t="str">
        <x:v>模板编辑</x:v>
      </x:c>
      <x:c r="G57" s="60" t="str">
        <x:v>缺少必填资料项名称、重复编码或发布空模板</x:v>
      </x:c>
      <x:c r="H57" s="60" t="str">
        <x:v>无</x:v>
      </x:c>
      <x:c r="I57" s="60" t="str">
        <x:v>前后端均拒绝并给出明确提示</x:v>
      </x:c>
      <x:c r="J57" s="52" t="str"/>
      <x:c r="K57" s="52" t="str">
        <x:v>未执行</x:v>
      </x:c>
      <x:c r="L57" s="52" t="str"/>
      <x:c r="M57" s="94" t="str"/>
      <x:c r="N57" s="52" t="str"/>
      <x:c r="O57" s="91" t="str"/>
      <x:c r="P57" s="2"/>
      <x:c r="Q57" s="2"/>
    </x:row>
    <x:row r="58" ht="66" customHeight="1">
      <x:c r="A58" s="83" t="str">
        <x:v>CLI-001</x:v>
      </x:c>
      <x:c r="B58" s="2" t="str">
        <x:v>小程序首页</x:v>
      </x:c>
      <x:c r="C58" s="2" t="str">
        <x:v>客户</x:v>
      </x:c>
      <x:c r="D58" s="2" t="str">
        <x:v>P0</x:v>
      </x:c>
      <x:c r="E58" s="2" t="str">
        <x:v>正向</x:v>
      </x:c>
      <x:c r="F58" s="60" t="str">
        <x:v>客户已登录</x:v>
      </x:c>
      <x:c r="G58" s="60" t="str">
        <x:v>查看首页欢迎区、服务入口、当前报单、查看全部</x:v>
      </x:c>
      <x:c r="H58" s="60" t="str">
        <x:v>无</x:v>
      </x:c>
      <x:c r="I58" s="60" t="str">
        <x:v>数据加载，无重复头部、边框缺失或横向溢出</x:v>
      </x:c>
      <x:c r="J58" s="52" t="str"/>
      <x:c r="K58" s="52" t="str">
        <x:v>未执行</x:v>
      </x:c>
      <x:c r="L58" s="52" t="str"/>
      <x:c r="M58" s="94" t="str"/>
      <x:c r="N58" s="52" t="str"/>
      <x:c r="O58" s="91" t="str"/>
      <x:c r="P58" s="2"/>
      <x:c r="Q58" s="2"/>
    </x:row>
    <x:row r="59" ht="66" customHeight="1">
      <x:c r="A59" s="83" t="str">
        <x:v>CLI-002</x:v>
      </x:c>
      <x:c r="B59" s="2" t="str">
        <x:v>小程序首页</x:v>
      </x:c>
      <x:c r="C59" s="2" t="str">
        <x:v>客户</x:v>
      </x:c>
      <x:c r="D59" s="2" t="str">
        <x:v>P0</x:v>
      </x:c>
      <x:c r="E59" s="2" t="str">
        <x:v>交互</x:v>
      </x:c>
      <x:c r="F59" s="60" t="str">
        <x:v>首页</x:v>
      </x:c>
      <x:c r="G59" s="60" t="str">
        <x:v>点击‘全部服务/开始报单’</x:v>
      </x:c>
      <x:c r="H59" s="60" t="str">
        <x:v>无</x:v>
      </x:c>
      <x:c r="I59" s="60" t="str">
        <x:v>进入服务选择二级页，底部 TabBar 不错误占位</x:v>
      </x:c>
      <x:c r="J59" s="52" t="str"/>
      <x:c r="K59" s="52" t="str">
        <x:v>未执行</x:v>
      </x:c>
      <x:c r="L59" s="52" t="str"/>
      <x:c r="M59" s="94" t="str"/>
      <x:c r="N59" s="52" t="str"/>
      <x:c r="O59" s="91" t="str"/>
      <x:c r="P59" s="2"/>
      <x:c r="Q59" s="2"/>
    </x:row>
    <x:row r="60" ht="66" customHeight="1">
      <x:c r="A60" s="83" t="str">
        <x:v>CLI-003</x:v>
      </x:c>
      <x:c r="B60" s="2" t="str">
        <x:v>小程序首页</x:v>
      </x:c>
      <x:c r="C60" s="2" t="str">
        <x:v>客户</x:v>
      </x:c>
      <x:c r="D60" s="2" t="str">
        <x:v>P1</x:v>
      </x:c>
      <x:c r="E60" s="2" t="str">
        <x:v>交互</x:v>
      </x:c>
      <x:c r="F60" s="60" t="str">
        <x:v>首页存在当前报单</x:v>
      </x:c>
      <x:c r="G60" s="60" t="str">
        <x:v>点击当前报单/查看全部</x:v>
      </x:c>
      <x:c r="H60" s="60" t="str">
        <x:v>无</x:v>
      </x:c>
      <x:c r="I60" s="60" t="str">
        <x:v>进入报单列表或对应详情</x:v>
      </x:c>
      <x:c r="J60" s="52" t="str"/>
      <x:c r="K60" s="52" t="str">
        <x:v>未执行</x:v>
      </x:c>
      <x:c r="L60" s="52" t="str"/>
      <x:c r="M60" s="94" t="str"/>
      <x:c r="N60" s="52" t="str"/>
      <x:c r="O60" s="91" t="str"/>
      <x:c r="P60" s="2"/>
      <x:c r="Q60" s="2"/>
    </x:row>
    <x:row r="61" ht="66" customHeight="1">
      <x:c r="A61" s="83" t="str">
        <x:v>CLI-004</x:v>
      </x:c>
      <x:c r="B61" s="2" t="str">
        <x:v>小程序导航</x:v>
      </x:c>
      <x:c r="C61" s="2" t="str">
        <x:v>客户</x:v>
      </x:c>
      <x:c r="D61" s="2" t="str">
        <x:v>P0</x:v>
      </x:c>
      <x:c r="E61" s="2" t="str">
        <x:v>交互</x:v>
      </x:c>
      <x:c r="F61" s="60" t="str">
        <x:v>客户已登录</x:v>
      </x:c>
      <x:c r="G61" s="60" t="str">
        <x:v>点击底部：首页、品类匹配、我的</x:v>
      </x:c>
      <x:c r="H61" s="60" t="str">
        <x:v>无</x:v>
      </x:c>
      <x:c r="I61" s="60" t="str">
        <x:v>三个 Tab 正常切换，图标和激活态清晰</x:v>
      </x:c>
      <x:c r="J61" s="52" t="str"/>
      <x:c r="K61" s="52" t="str">
        <x:v>未执行</x:v>
      </x:c>
      <x:c r="L61" s="52" t="str"/>
      <x:c r="M61" s="94" t="str"/>
      <x:c r="N61" s="52" t="str"/>
      <x:c r="O61" s="91" t="str"/>
      <x:c r="P61" s="2"/>
      <x:c r="Q61" s="2"/>
    </x:row>
    <x:row r="62" ht="66" customHeight="1">
      <x:c r="A62" s="83" t="str">
        <x:v>CLI-005</x:v>
      </x:c>
      <x:c r="B62" s="2" t="str">
        <x:v>小程序服务</x:v>
      </x:c>
      <x:c r="C62" s="2" t="str">
        <x:v>客户</x:v>
      </x:c>
      <x:c r="D62" s="2" t="str">
        <x:v>P0</x:v>
      </x:c>
      <x:c r="E62" s="2" t="str">
        <x:v>正向</x:v>
      </x:c>
      <x:c r="F62" s="60" t="str">
        <x:v>进入选择服务页</x:v>
      </x:c>
      <x:c r="G62" s="60" t="str">
        <x:v>查看贸易增量、商标注册咨询、资质申报服务</x:v>
      </x:c>
      <x:c r="H62" s="60" t="str">
        <x:v>无</x:v>
      </x:c>
      <x:c r="I62" s="60" t="str">
        <x:v>三个服务可点击，说明与流程入口正确</x:v>
      </x:c>
      <x:c r="J62" s="52" t="str"/>
      <x:c r="K62" s="52" t="str">
        <x:v>未执行</x:v>
      </x:c>
      <x:c r="L62" s="52" t="str"/>
      <x:c r="M62" s="94" t="str"/>
      <x:c r="N62" s="52" t="str"/>
      <x:c r="O62" s="91" t="str"/>
      <x:c r="P62" s="2"/>
      <x:c r="Q62" s="2"/>
    </x:row>
    <x:row r="63" ht="66" customHeight="1">
      <x:c r="A63" s="83" t="str">
        <x:v>CLI-006</x:v>
      </x:c>
      <x:c r="B63" s="2" t="str">
        <x:v>小程序服务</x:v>
      </x:c>
      <x:c r="C63" s="2" t="str">
        <x:v>客户</x:v>
      </x:c>
      <x:c r="D63" s="2" t="str">
        <x:v>P1</x:v>
      </x:c>
      <x:c r="E63" s="2" t="str">
        <x:v>交互</x:v>
      </x:c>
      <x:c r="F63" s="60" t="str">
        <x:v>选择服务页</x:v>
      </x:c>
      <x:c r="G63" s="60" t="str">
        <x:v>连续返回/前进并重复进入二级页</x:v>
      </x:c>
      <x:c r="H63" s="60" t="str">
        <x:v>无</x:v>
      </x:c>
      <x:c r="I63" s="60" t="str">
        <x:v>返回栈正常，每页仅一个原生头部</x:v>
      </x:c>
      <x:c r="J63" s="52" t="str"/>
      <x:c r="K63" s="52" t="str">
        <x:v>未执行</x:v>
      </x:c>
      <x:c r="L63" s="52" t="str"/>
      <x:c r="M63" s="94" t="str"/>
      <x:c r="N63" s="52" t="str"/>
      <x:c r="O63" s="91" t="str"/>
      <x:c r="P63" s="2"/>
      <x:c r="Q63" s="2"/>
    </x:row>
    <x:row r="64" ht="66" customHeight="1">
      <x:c r="A64" s="83" t="str">
        <x:v>CLI-007</x:v>
      </x:c>
      <x:c r="B64" s="2" t="str">
        <x:v>小程序我的</x:v>
      </x:c>
      <x:c r="C64" s="2" t="str">
        <x:v>客户</x:v>
      </x:c>
      <x:c r="D64" s="2" t="str">
        <x:v>P0</x:v>
      </x:c>
      <x:c r="E64" s="2" t="str">
        <x:v>正向</x:v>
      </x:c>
      <x:c r="F64" s="60" t="str">
        <x:v>进入我的页</x:v>
      </x:c>
      <x:c r="G64" s="60" t="str">
        <x:v>查看企业资料入口、四类报单统计</x:v>
      </x:c>
      <x:c r="H64" s="60" t="str">
        <x:v>无</x:v>
      </x:c>
      <x:c r="I64" s="60" t="str">
        <x:v>只显示企业资料入口；不内嵌‘我的报单’列表</x:v>
      </x:c>
      <x:c r="J64" s="52" t="str"/>
      <x:c r="K64" s="52" t="str">
        <x:v>未执行</x:v>
      </x:c>
      <x:c r="L64" s="52" t="str"/>
      <x:c r="M64" s="94" t="str"/>
      <x:c r="N64" s="52" t="str"/>
      <x:c r="O64" s="91" t="str"/>
      <x:c r="P64" s="2"/>
      <x:c r="Q64" s="2"/>
    </x:row>
    <x:row r="65" ht="66" customHeight="1">
      <x:c r="A65" s="83" t="str">
        <x:v>CLI-008</x:v>
      </x:c>
      <x:c r="B65" s="2" t="str">
        <x:v>小程序我的</x:v>
      </x:c>
      <x:c r="C65" s="2" t="str">
        <x:v>客户</x:v>
      </x:c>
      <x:c r="D65" s="2" t="str">
        <x:v>P0</x:v>
      </x:c>
      <x:c r="E65" s="2" t="str">
        <x:v>交互</x:v>
      </x:c>
      <x:c r="F65" s="60" t="str">
        <x:v>我的页</x:v>
      </x:c>
      <x:c r="G65" s="60" t="str">
        <x:v>分别点击全部、处理中、待补资料、已完成</x:v>
      </x:c>
      <x:c r="H65" s="60" t="str">
        <x:v>无</x:v>
      </x:c>
      <x:c r="I65" s="60" t="str">
        <x:v>进入独立报单列表，并选中相应筛选</x:v>
      </x:c>
      <x:c r="J65" s="52" t="str"/>
      <x:c r="K65" s="52" t="str">
        <x:v>未执行</x:v>
      </x:c>
      <x:c r="L65" s="52" t="str"/>
      <x:c r="M65" s="94" t="str"/>
      <x:c r="N65" s="52" t="str"/>
      <x:c r="O65" s="91" t="str"/>
      <x:c r="P65" s="2"/>
      <x:c r="Q65" s="2"/>
    </x:row>
    <x:row r="66" ht="66" customHeight="1">
      <x:c r="A66" s="83" t="str">
        <x:v>CASE-001</x:v>
      </x:c>
      <x:c r="B66" s="2" t="str">
        <x:v>贸易增量报单</x:v>
      </x:c>
      <x:c r="C66" s="2" t="str">
        <x:v>客户</x:v>
      </x:c>
      <x:c r="D66" s="2" t="str">
        <x:v>P0</x:v>
      </x:c>
      <x:c r="E66" s="2" t="str">
        <x:v>正向</x:v>
      </x:c>
      <x:c r="F66" s="60" t="str">
        <x:v>客户有企业且产品已发布</x:v>
      </x:c>
      <x:c r="G66" s="60" t="str">
        <x:v>选择贸易增量服务并创建草稿</x:v>
      </x:c>
      <x:c r="H66" s="60" t="str">
        <x:v>当前企业、当前月份</x:v>
      </x:c>
      <x:c r="I66" s="60" t="str">
        <x:v>生成草稿和唯一报单编号，重复点击不重复创建</x:v>
      </x:c>
      <x:c r="J66" s="52" t="str"/>
      <x:c r="K66" s="52" t="str">
        <x:v>未执行</x:v>
      </x:c>
      <x:c r="L66" s="52" t="str"/>
      <x:c r="M66" s="94" t="str"/>
      <x:c r="N66" s="52" t="str"/>
      <x:c r="O66" s="91" t="str"/>
      <x:c r="P66" s="2"/>
      <x:c r="Q66" s="2"/>
    </x:row>
    <x:row r="67" ht="66" customHeight="1">
      <x:c r="A67" s="83" t="str">
        <x:v>CASE-002</x:v>
      </x:c>
      <x:c r="B67" s="2" t="str">
        <x:v>贸易增量报单</x:v>
      </x:c>
      <x:c r="C67" s="2" t="str">
        <x:v>客户</x:v>
      </x:c>
      <x:c r="D67" s="2" t="str">
        <x:v>P0</x:v>
      </x:c>
      <x:c r="E67" s="2" t="str">
        <x:v>正向</x:v>
      </x:c>
      <x:c r="F67" s="60" t="str">
        <x:v>进入资料清单</x:v>
      </x:c>
      <x:c r="G67" s="60" t="str">
        <x:v>核对 11 项资料名称、输入类型、必填/敏感标识</x:v>
      </x:c>
      <x:c r="H67" s="60" t="str">
        <x:v>无</x:v>
      </x:c>
      <x:c r="I67" s="60" t="str">
        <x:v>资料项来自已发布模板，状态初始正确</x:v>
      </x:c>
      <x:c r="J67" s="52" t="str"/>
      <x:c r="K67" s="52" t="str">
        <x:v>未执行</x:v>
      </x:c>
      <x:c r="L67" s="52" t="str"/>
      <x:c r="M67" s="94" t="str"/>
      <x:c r="N67" s="52" t="str"/>
      <x:c r="O67" s="91" t="str"/>
      <x:c r="P67" s="2"/>
      <x:c r="Q67" s="2"/>
    </x:row>
    <x:row r="68" ht="66" customHeight="1">
      <x:c r="A68" s="83" t="str">
        <x:v>CASE-003</x:v>
      </x:c>
      <x:c r="B68" s="2" t="str">
        <x:v>贸易增量报单</x:v>
      </x:c>
      <x:c r="C68" s="2" t="str">
        <x:v>客户</x:v>
      </x:c>
      <x:c r="D68" s="2" t="str">
        <x:v>P0</x:v>
      </x:c>
      <x:c r="E68" s="2" t="str">
        <x:v>正向</x:v>
      </x:c>
      <x:c r="F68" s="60" t="str">
        <x:v>资料清单</x:v>
      </x:c>
      <x:c r="G68" s="60" t="str">
        <x:v>填写文字类资料并保存</x:v>
      </x:c>
      <x:c r="H68" s="60" t="str">
        <x:v>仅使用合成信息</x:v>
      </x:c>
      <x:c r="I68" s="60" t="str">
        <x:v>保存成功，刷新后仍存在</x:v>
      </x:c>
      <x:c r="J68" s="52" t="str"/>
      <x:c r="K68" s="52" t="str">
        <x:v>未执行</x:v>
      </x:c>
      <x:c r="L68" s="52" t="str"/>
      <x:c r="M68" s="94" t="str"/>
      <x:c r="N68" s="52" t="str"/>
      <x:c r="O68" s="91" t="str"/>
      <x:c r="P68" s="2"/>
      <x:c r="Q68" s="2"/>
    </x:row>
    <x:row r="69" ht="66" customHeight="1">
      <x:c r="A69" s="83" t="str">
        <x:v>CASE-004</x:v>
      </x:c>
      <x:c r="B69" s="2" t="str">
        <x:v>贸易增量报单</x:v>
      </x:c>
      <x:c r="C69" s="2" t="str">
        <x:v>客户</x:v>
      </x:c>
      <x:c r="D69" s="2" t="str">
        <x:v>P0</x:v>
      </x:c>
      <x:c r="E69" s="2" t="str">
        <x:v>正向</x:v>
      </x:c>
      <x:c r="F69" s="60" t="str">
        <x:v>文件类资料项</x:v>
      </x:c>
      <x:c r="G69" s="60" t="str">
        <x:v>上传允许格式的小文件</x:v>
      </x:c>
      <x:c r="H69" s="60" t="str">
        <x:v>test-license.png 或 sample.pdf，小于限制</x:v>
      </x:c>
      <x:c r="I69" s="60" t="str">
        <x:v>上传成功，文件列表显示 READY</x:v>
      </x:c>
      <x:c r="J69" s="52" t="str"/>
      <x:c r="K69" s="52" t="str">
        <x:v>未执行</x:v>
      </x:c>
      <x:c r="L69" s="52" t="str"/>
      <x:c r="M69" s="94" t="str"/>
      <x:c r="N69" s="52" t="str"/>
      <x:c r="O69" s="91" t="str"/>
      <x:c r="P69" s="2"/>
      <x:c r="Q69" s="2"/>
    </x:row>
    <x:row r="70" ht="66" customHeight="1">
      <x:c r="A70" s="83" t="str">
        <x:v>CASE-005</x:v>
      </x:c>
      <x:c r="B70" s="2" t="str">
        <x:v>贸易增量报单</x:v>
      </x:c>
      <x:c r="C70" s="2" t="str">
        <x:v>客户</x:v>
      </x:c>
      <x:c r="D70" s="2" t="str">
        <x:v>P1</x:v>
      </x:c>
      <x:c r="E70" s="2" t="str">
        <x:v>异常</x:v>
      </x:c>
      <x:c r="F70" s="60" t="str">
        <x:v>文件类资料项</x:v>
      </x:c>
      <x:c r="G70" s="60" t="str">
        <x:v>上传超限或不允许格式文件</x:v>
      </x:c>
      <x:c r="H70" s="60" t="str">
        <x:v>超过 100MB 或可执行文件</x:v>
      </x:c>
      <x:c r="I70" s="60" t="str">
        <x:v>明确拒绝，不产生 READY 文件</x:v>
      </x:c>
      <x:c r="J70" s="52" t="str"/>
      <x:c r="K70" s="52" t="str">
        <x:v>未执行</x:v>
      </x:c>
      <x:c r="L70" s="52" t="str"/>
      <x:c r="M70" s="94" t="str"/>
      <x:c r="N70" s="52" t="str"/>
      <x:c r="O70" s="91" t="str"/>
      <x:c r="P70" s="2"/>
      <x:c r="Q70" s="2"/>
    </x:row>
    <x:row r="71" ht="66" customHeight="1">
      <x:c r="A71" s="83" t="str">
        <x:v>CASE-006</x:v>
      </x:c>
      <x:c r="B71" s="2" t="str">
        <x:v>贸易增量报单</x:v>
      </x:c>
      <x:c r="C71" s="2" t="str">
        <x:v>客户</x:v>
      </x:c>
      <x:c r="D71" s="2" t="str">
        <x:v>P1</x:v>
      </x:c>
      <x:c r="E71" s="2" t="str">
        <x:v>正向</x:v>
      </x:c>
      <x:c r="F71" s="60" t="str">
        <x:v>已有上传文件</x:v>
      </x:c>
      <x:c r="G71" s="60" t="str">
        <x:v>预览文件；关闭预览</x:v>
      </x:c>
      <x:c r="H71" s="60" t="str">
        <x:v>无</x:v>
      </x:c>
      <x:c r="I71" s="60" t="str">
        <x:v>获得短期受控地址；可预览且不会暴露永久对象地址</x:v>
      </x:c>
      <x:c r="J71" s="52" t="str"/>
      <x:c r="K71" s="52" t="str">
        <x:v>未执行</x:v>
      </x:c>
      <x:c r="L71" s="52" t="str"/>
      <x:c r="M71" s="94" t="str"/>
      <x:c r="N71" s="52" t="str"/>
      <x:c r="O71" s="91" t="str"/>
      <x:c r="P71" s="2"/>
      <x:c r="Q71" s="2"/>
    </x:row>
    <x:row r="72" ht="66" customHeight="1">
      <x:c r="A72" s="83" t="str">
        <x:v>CASE-007</x:v>
      </x:c>
      <x:c r="B72" s="2" t="str">
        <x:v>贸易增量报单</x:v>
      </x:c>
      <x:c r="C72" s="2" t="str">
        <x:v>客户</x:v>
      </x:c>
      <x:c r="D72" s="2" t="str">
        <x:v>P1</x:v>
      </x:c>
      <x:c r="E72" s="2" t="str">
        <x:v>正向</x:v>
      </x:c>
      <x:c r="F72" s="60" t="str">
        <x:v>已有上传文件且报单未提交</x:v>
      </x:c>
      <x:c r="G72" s="60" t="str">
        <x:v>删除文件；二次确认</x:v>
      </x:c>
      <x:c r="H72" s="60" t="str">
        <x:v>无</x:v>
      </x:c>
      <x:c r="I72" s="60" t="str">
        <x:v>文件从列表移除，资料状态同步</x:v>
      </x:c>
      <x:c r="J72" s="52" t="str"/>
      <x:c r="K72" s="52" t="str">
        <x:v>未执行</x:v>
      </x:c>
      <x:c r="L72" s="52" t="str"/>
      <x:c r="M72" s="94" t="str"/>
      <x:c r="N72" s="52" t="str"/>
      <x:c r="O72" s="91" t="str"/>
      <x:c r="P72" s="2"/>
      <x:c r="Q72" s="2"/>
    </x:row>
    <x:row r="73" ht="66" customHeight="1">
      <x:c r="A73" s="83" t="str">
        <x:v>CASE-008</x:v>
      </x:c>
      <x:c r="B73" s="2" t="str">
        <x:v>贸易增量报单</x:v>
      </x:c>
      <x:c r="C73" s="2" t="str">
        <x:v>客户</x:v>
      </x:c>
      <x:c r="D73" s="2" t="str">
        <x:v>P0</x:v>
      </x:c>
      <x:c r="E73" s="2" t="str">
        <x:v>正向</x:v>
      </x:c>
      <x:c r="F73" s="60" t="str">
        <x:v>进入补充开票资料页</x:v>
      </x:c>
      <x:c r="G73" s="60" t="str">
        <x:v>填写企业名、税号、地址电话、开户行、基本户</x:v>
      </x:c>
      <x:c r="H73" s="60" t="str">
        <x:v>全部使用合成数据</x:v>
      </x:c>
      <x:c r="I73" s="60" t="str">
        <x:v>保存成功；敏感字段不写日志，页面按规则展示</x:v>
      </x:c>
      <x:c r="J73" s="52" t="str"/>
      <x:c r="K73" s="52" t="str">
        <x:v>未执行</x:v>
      </x:c>
      <x:c r="L73" s="52" t="str"/>
      <x:c r="M73" s="94" t="str"/>
      <x:c r="N73" s="52" t="str"/>
      <x:c r="O73" s="91" t="str"/>
      <x:c r="P73" s="2"/>
      <x:c r="Q73" s="2"/>
    </x:row>
    <x:row r="74" ht="66" customHeight="1">
      <x:c r="A74" s="83" t="str">
        <x:v>CASE-009</x:v>
      </x:c>
      <x:c r="B74" s="2" t="str">
        <x:v>贸易增量报单</x:v>
      </x:c>
      <x:c r="C74" s="2" t="str">
        <x:v>客户</x:v>
      </x:c>
      <x:c r="D74" s="2" t="str">
        <x:v>P1</x:v>
      </x:c>
      <x:c r="E74" s="2" t="str">
        <x:v>异常</x:v>
      </x:c>
      <x:c r="F74" s="60" t="str">
        <x:v>必填资料未完成</x:v>
      </x:c>
      <x:c r="G74" s="60" t="str">
        <x:v>点击提交报单</x:v>
      </x:c>
      <x:c r="H74" s="60" t="str">
        <x:v>缺少一项必填</x:v>
      </x:c>
      <x:c r="I74" s="60" t="str">
        <x:v>阻止提交并定位/提示缺失资料</x:v>
      </x:c>
      <x:c r="J74" s="52" t="str"/>
      <x:c r="K74" s="52" t="str">
        <x:v>未执行</x:v>
      </x:c>
      <x:c r="L74" s="52" t="str"/>
      <x:c r="M74" s="94" t="str"/>
      <x:c r="N74" s="52" t="str"/>
      <x:c r="O74" s="91" t="str"/>
      <x:c r="P74" s="2"/>
      <x:c r="Q74" s="2"/>
    </x:row>
    <x:row r="75" ht="66" customHeight="1">
      <x:c r="A75" s="83" t="str">
        <x:v>CASE-010</x:v>
      </x:c>
      <x:c r="B75" s="2" t="str">
        <x:v>贸易增量报单</x:v>
      </x:c>
      <x:c r="C75" s="2" t="str">
        <x:v>客户</x:v>
      </x:c>
      <x:c r="D75" s="2" t="str">
        <x:v>P0</x:v>
      </x:c>
      <x:c r="E75" s="2" t="str">
        <x:v>正向</x:v>
      </x:c>
      <x:c r="F75" s="60" t="str">
        <x:v>所有必填资料完成</x:v>
      </x:c>
      <x:c r="G75" s="60" t="str">
        <x:v>点击提交并确认</x:v>
      </x:c>
      <x:c r="H75" s="60" t="str">
        <x:v>无</x:v>
      </x:c>
      <x:c r="I75" s="60" t="str">
        <x:v>状态变为待审核；跳转处理中列表；重复提交不产生重复操作</x:v>
      </x:c>
      <x:c r="J75" s="52" t="str"/>
      <x:c r="K75" s="52" t="str">
        <x:v>未执行</x:v>
      </x:c>
      <x:c r="L75" s="52" t="str"/>
      <x:c r="M75" s="94" t="str"/>
      <x:c r="N75" s="52" t="str"/>
      <x:c r="O75" s="91" t="str"/>
      <x:c r="P75" s="2"/>
      <x:c r="Q75" s="2"/>
    </x:row>
    <x:row r="76" ht="66" customHeight="1">
      <x:c r="A76" s="83" t="str">
        <x:v>CASE-011</x:v>
      </x:c>
      <x:c r="B76" s="2" t="str">
        <x:v>后台报单</x:v>
      </x:c>
      <x:c r="C76" s="2" t="str">
        <x:v>管理员</x:v>
      </x:c>
      <x:c r="D76" s="2" t="str">
        <x:v>P0</x:v>
      </x:c>
      <x:c r="E76" s="2" t="str">
        <x:v>正向</x:v>
      </x:c>
      <x:c r="F76" s="60" t="str">
        <x:v>存在待审核报单</x:v>
      </x:c>
      <x:c r="G76" s="60" t="str">
        <x:v>后台报单列表按状态/企业搜索</x:v>
      </x:c>
      <x:c r="H76" s="60" t="str">
        <x:v>测试报单编号</x:v>
      </x:c>
      <x:c r="I76" s="60" t="str">
        <x:v>正确筛选并进入详情</x:v>
      </x:c>
      <x:c r="J76" s="52" t="str"/>
      <x:c r="K76" s="52" t="str">
        <x:v>未执行</x:v>
      </x:c>
      <x:c r="L76" s="52" t="str"/>
      <x:c r="M76" s="94" t="str"/>
      <x:c r="N76" s="52" t="str"/>
      <x:c r="O76" s="91" t="str"/>
      <x:c r="P76" s="2"/>
      <x:c r="Q76" s="2"/>
    </x:row>
    <x:row r="77" ht="66" customHeight="1">
      <x:c r="A77" s="83" t="str">
        <x:v>CASE-012</x:v>
      </x:c>
      <x:c r="B77" s="2" t="str">
        <x:v>后台报单</x:v>
      </x:c>
      <x:c r="C77" s="2" t="str">
        <x:v>管理员</x:v>
      </x:c>
      <x:c r="D77" s="2" t="str">
        <x:v>P0</x:v>
      </x:c>
      <x:c r="E77" s="2" t="str">
        <x:v>正向</x:v>
      </x:c>
      <x:c r="F77" s="60" t="str">
        <x:v>打开待审核详情</x:v>
      </x:c>
      <x:c r="G77" s="60" t="str">
        <x:v>核对企业、服务、资料、文件、版本</x:v>
      </x:c>
      <x:c r="H77" s="60" t="str">
        <x:v>无</x:v>
      </x:c>
      <x:c r="I77" s="60" t="str">
        <x:v>详情与客户提交一致；内部备注与客户可见说明区分</x:v>
      </x:c>
      <x:c r="J77" s="52" t="str"/>
      <x:c r="K77" s="52" t="str">
        <x:v>未执行</x:v>
      </x:c>
      <x:c r="L77" s="52" t="str"/>
      <x:c r="M77" s="94" t="str"/>
      <x:c r="N77" s="52" t="str"/>
      <x:c r="O77" s="91" t="str"/>
      <x:c r="P77" s="2"/>
      <x:c r="Q77" s="2"/>
    </x:row>
    <x:row r="78" ht="66" customHeight="1">
      <x:c r="A78" s="83" t="str">
        <x:v>CASE-013</x:v>
      </x:c>
      <x:c r="B78" s="2" t="str">
        <x:v>后台报单</x:v>
      </x:c>
      <x:c r="C78" s="2" t="str">
        <x:v>管理员</x:v>
      </x:c>
      <x:c r="D78" s="2" t="str">
        <x:v>P0</x:v>
      </x:c>
      <x:c r="E78" s="2" t="str">
        <x:v>正向</x:v>
      </x:c>
      <x:c r="F78" s="60" t="str">
        <x:v>待审核资料项</x:v>
      </x:c>
      <x:c r="G78" s="60" t="str">
        <x:v>审核单项为通过并填写内部备注</x:v>
      </x:c>
      <x:c r="H78" s="60" t="str">
        <x:v>reviewStatus=APPROVED</x:v>
      </x:c>
      <x:c r="I78" s="60" t="str">
        <x:v>版本正确时成功，操作日志记录</x:v>
      </x:c>
      <x:c r="J78" s="52" t="str"/>
      <x:c r="K78" s="52" t="str">
        <x:v>未执行</x:v>
      </x:c>
      <x:c r="L78" s="52" t="str"/>
      <x:c r="M78" s="94" t="str"/>
      <x:c r="N78" s="52" t="str"/>
      <x:c r="O78" s="91" t="str"/>
      <x:c r="P78" s="2"/>
      <x:c r="Q78" s="2"/>
    </x:row>
    <x:row r="79" ht="66" customHeight="1">
      <x:c r="A79" s="83" t="str">
        <x:v>CASE-014</x:v>
      </x:c>
      <x:c r="B79" s="2" t="str">
        <x:v>后台报单</x:v>
      </x:c>
      <x:c r="C79" s="2" t="str">
        <x:v>管理员</x:v>
      </x:c>
      <x:c r="D79" s="2" t="str">
        <x:v>P0</x:v>
      </x:c>
      <x:c r="E79" s="2" t="str">
        <x:v>正向</x:v>
      </x:c>
      <x:c r="F79" s="60" t="str">
        <x:v>待审核资料项</x:v>
      </x:c>
      <x:c r="G79" s="60" t="str">
        <x:v>审核为需补件，填写客户可见说明</x:v>
      </x:c>
      <x:c r="H79" s="60" t="str">
        <x:v>合成补件原因</x:v>
      </x:c>
      <x:c r="I79" s="60" t="str">
        <x:v>资料项变为需补件，客户可看到说明</x:v>
      </x:c>
      <x:c r="J79" s="52" t="str"/>
      <x:c r="K79" s="52" t="str">
        <x:v>未执行</x:v>
      </x:c>
      <x:c r="L79" s="52" t="str"/>
      <x:c r="M79" s="94" t="str"/>
      <x:c r="N79" s="52" t="str"/>
      <x:c r="O79" s="91" t="str"/>
      <x:c r="P79" s="2"/>
      <x:c r="Q79" s="2"/>
    </x:row>
    <x:row r="80" ht="66" customHeight="1">
      <x:c r="A80" s="83" t="str">
        <x:v>CASE-015</x:v>
      </x:c>
      <x:c r="B80" s="2" t="str">
        <x:v>后台报单</x:v>
      </x:c>
      <x:c r="C80" s="2" t="str">
        <x:v>管理员</x:v>
      </x:c>
      <x:c r="D80" s="2" t="str">
        <x:v>P0</x:v>
      </x:c>
      <x:c r="E80" s="2" t="str">
        <x:v>正向</x:v>
      </x:c>
      <x:c r="F80" s="60" t="str">
        <x:v>报单至少一个需补件项</x:v>
      </x:c>
      <x:c r="G80" s="60" t="str">
        <x:v>发起补件请求</x:v>
      </x:c>
      <x:c r="H80" s="60" t="str">
        <x:v>请选择资料项并填写补件说明</x:v>
      </x:c>
      <x:c r="I80" s="60" t="str">
        <x:v>报单状态 NEED_SUPPLEMENT；客户收到通知</x:v>
      </x:c>
      <x:c r="J80" s="52" t="str"/>
      <x:c r="K80" s="52" t="str">
        <x:v>未执行</x:v>
      </x:c>
      <x:c r="L80" s="52" t="str"/>
      <x:c r="M80" s="94" t="str"/>
      <x:c r="N80" s="52" t="str"/>
      <x:c r="O80" s="91" t="str"/>
      <x:c r="P80" s="2"/>
      <x:c r="Q80" s="2"/>
    </x:row>
    <x:row r="81" ht="66" customHeight="1">
      <x:c r="A81" s="83" t="str">
        <x:v>CASE-016</x:v>
      </x:c>
      <x:c r="B81" s="2" t="str">
        <x:v>客户补件</x:v>
      </x:c>
      <x:c r="C81" s="2" t="str">
        <x:v>客户</x:v>
      </x:c>
      <x:c r="D81" s="2" t="str">
        <x:v>P0</x:v>
      </x:c>
      <x:c r="E81" s="2" t="str">
        <x:v>正向</x:v>
      </x:c>
      <x:c r="F81" s="60" t="str">
        <x:v>存在待补资料报单</x:v>
      </x:c>
      <x:c r="G81" s="60" t="str">
        <x:v>从待补资料列表进入详情</x:v>
      </x:c>
      <x:c r="H81" s="60" t="str">
        <x:v>无</x:v>
      </x:c>
      <x:c r="I81" s="60" t="str">
        <x:v>显示补件说明和待补资料项</x:v>
      </x:c>
      <x:c r="J81" s="52" t="str"/>
      <x:c r="K81" s="52" t="str">
        <x:v>未执行</x:v>
      </x:c>
      <x:c r="L81" s="52" t="str"/>
      <x:c r="M81" s="94" t="str"/>
      <x:c r="N81" s="52" t="str"/>
      <x:c r="O81" s="91" t="str"/>
      <x:c r="P81" s="2"/>
      <x:c r="Q81" s="2"/>
    </x:row>
    <x:row r="82" ht="66" customHeight="1">
      <x:c r="A82" s="83" t="str">
        <x:v>CASE-017</x:v>
      </x:c>
      <x:c r="B82" s="2" t="str">
        <x:v>客户补件</x:v>
      </x:c>
      <x:c r="C82" s="2" t="str">
        <x:v>客户</x:v>
      </x:c>
      <x:c r="D82" s="2" t="str">
        <x:v>P0</x:v>
      </x:c>
      <x:c r="E82" s="2" t="str">
        <x:v>正向</x:v>
      </x:c>
      <x:c r="F82" s="60" t="str">
        <x:v>待补资料项可编辑</x:v>
      </x:c>
      <x:c r="G82" s="60" t="str">
        <x:v>替换文件/修改文字并重新提交</x:v>
      </x:c>
      <x:c r="H82" s="60" t="str">
        <x:v>合成资料</x:v>
      </x:c>
      <x:c r="I82" s="60" t="str">
        <x:v>状态重新进入待审核，时间线新增记录</x:v>
      </x:c>
      <x:c r="J82" s="52" t="str"/>
      <x:c r="K82" s="52" t="str">
        <x:v>未执行</x:v>
      </x:c>
      <x:c r="L82" s="52" t="str"/>
      <x:c r="M82" s="94" t="str"/>
      <x:c r="N82" s="52" t="str"/>
      <x:c r="O82" s="91" t="str"/>
      <x:c r="P82" s="2"/>
      <x:c r="Q82" s="2"/>
    </x:row>
    <x:row r="83" ht="66" customHeight="1">
      <x:c r="A83" s="83" t="str">
        <x:v>CASE-018</x:v>
      </x:c>
      <x:c r="B83" s="2" t="str">
        <x:v>后台报单</x:v>
      </x:c>
      <x:c r="C83" s="2" t="str">
        <x:v>管理员</x:v>
      </x:c>
      <x:c r="D83" s="2" t="str">
        <x:v>P0</x:v>
      </x:c>
      <x:c r="E83" s="2" t="str">
        <x:v>正向</x:v>
      </x:c>
      <x:c r="F83" s="60" t="str">
        <x:v>报单待处理</x:v>
      </x:c>
      <x:c r="G83" s="60" t="str">
        <x:v>分配经办人</x:v>
      </x:c>
      <x:c r="H83" s="60" t="str">
        <x:v>选择启用管理员</x:v>
      </x:c>
      <x:c r="I83" s="60" t="str">
        <x:v>经办人保存并在列表/详情显示</x:v>
      </x:c>
      <x:c r="J83" s="52" t="str"/>
      <x:c r="K83" s="52" t="str">
        <x:v>未执行</x:v>
      </x:c>
      <x:c r="L83" s="52" t="str"/>
      <x:c r="M83" s="94" t="str"/>
      <x:c r="N83" s="52" t="str"/>
      <x:c r="O83" s="91" t="str"/>
      <x:c r="P83" s="2"/>
      <x:c r="Q83" s="2"/>
    </x:row>
    <x:row r="84" ht="66" customHeight="1">
      <x:c r="A84" s="83" t="str">
        <x:v>CASE-019</x:v>
      </x:c>
      <x:c r="B84" s="2" t="str">
        <x:v>后台报单</x:v>
      </x:c>
      <x:c r="C84" s="2" t="str">
        <x:v>管理员</x:v>
      </x:c>
      <x:c r="D84" s="2" t="str">
        <x:v>P0</x:v>
      </x:c>
      <x:c r="E84" s="2" t="str">
        <x:v>正向</x:v>
      </x:c>
      <x:c r="F84" s="60" t="str">
        <x:v>报单满足流转条件</x:v>
      </x:c>
      <x:c r="G84" s="60" t="str">
        <x:v>依次变更 PROCESSING、COMPLETED</x:v>
      </x:c>
      <x:c r="H84" s="60" t="str">
        <x:v>填写合成备注</x:v>
      </x:c>
      <x:c r="I84" s="60" t="str">
        <x:v>状态按允许路径流转，非法跳转被拒绝</x:v>
      </x:c>
      <x:c r="J84" s="52" t="str"/>
      <x:c r="K84" s="52" t="str">
        <x:v>未执行</x:v>
      </x:c>
      <x:c r="L84" s="52" t="str"/>
      <x:c r="M84" s="94" t="str"/>
      <x:c r="N84" s="52" t="str"/>
      <x:c r="O84" s="91" t="str"/>
      <x:c r="P84" s="2"/>
      <x:c r="Q84" s="2"/>
    </x:row>
    <x:row r="85" ht="66" customHeight="1">
      <x:c r="A85" s="83" t="str">
        <x:v>CASE-020</x:v>
      </x:c>
      <x:c r="B85" s="2" t="str">
        <x:v>线下凭证交接</x:v>
      </x:c>
      <x:c r="C85" s="2" t="str">
        <x:v>管理员</x:v>
      </x:c>
      <x:c r="D85" s="2" t="str">
        <x:v>P0</x:v>
      </x:c>
      <x:c r="E85" s="2" t="str">
        <x:v>正向</x:v>
      </x:c>
      <x:c r="F85" s="60" t="str">
        <x:v>报单详情</x:v>
      </x:c>
      <x:c r="G85" s="60" t="str">
        <x:v>登记网银/U 盾/交易密码等仅线下交接状态</x:v>
      </x:c>
      <x:c r="H85" s="60" t="str">
        <x:v>只记交接状态、时间、备注；不录入真实秘密</x:v>
      </x:c>
      <x:c r="I85" s="60" t="str">
        <x:v>后台可查询交接状态；小程序不提供秘密提交入口</x:v>
      </x:c>
      <x:c r="J85" s="52" t="str"/>
      <x:c r="K85" s="52" t="str">
        <x:v>未执行</x:v>
      </x:c>
      <x:c r="L85" s="52" t="str"/>
      <x:c r="M85" s="94" t="str"/>
      <x:c r="N85" s="52" t="str"/>
      <x:c r="O85" s="91" t="str"/>
      <x:c r="P85" s="2"/>
      <x:c r="Q85" s="2"/>
    </x:row>
    <x:row r="86" ht="66" customHeight="1">
      <x:c r="A86" s="83" t="str">
        <x:v>CASE-021</x:v>
      </x:c>
      <x:c r="B86" s="2" t="str">
        <x:v>报单列表</x:v>
      </x:c>
      <x:c r="C86" s="2" t="str">
        <x:v>客户</x:v>
      </x:c>
      <x:c r="D86" s="2" t="str">
        <x:v>P0</x:v>
      </x:c>
      <x:c r="E86" s="2" t="str">
        <x:v>正向</x:v>
      </x:c>
      <x:c r="F86" s="60" t="str">
        <x:v>有多状态报单</x:v>
      </x:c>
      <x:c r="G86" s="60" t="str">
        <x:v>验证全部/处理中/待补/已完成列表与分页</x:v>
      </x:c>
      <x:c r="H86" s="60" t="str">
        <x:v>无</x:v>
      </x:c>
      <x:c r="I86" s="60" t="str">
        <x:v>状态口径正确；处理中=待审核+处理中</x:v>
      </x:c>
      <x:c r="J86" s="52" t="str"/>
      <x:c r="K86" s="52" t="str">
        <x:v>未执行</x:v>
      </x:c>
      <x:c r="L86" s="52" t="str"/>
      <x:c r="M86" s="94" t="str"/>
      <x:c r="N86" s="52" t="str"/>
      <x:c r="O86" s="91" t="str"/>
      <x:c r="P86" s="2"/>
      <x:c r="Q86" s="2"/>
    </x:row>
    <x:row r="87" ht="66" customHeight="1">
      <x:c r="A87" s="83" t="str">
        <x:v>CASE-022</x:v>
      </x:c>
      <x:c r="B87" s="2" t="str">
        <x:v>报单时间线</x:v>
      </x:c>
      <x:c r="C87" s="2" t="str">
        <x:v>客户</x:v>
      </x:c>
      <x:c r="D87" s="2" t="str">
        <x:v>P1</x:v>
      </x:c>
      <x:c r="E87" s="2" t="str">
        <x:v>正向</x:v>
      </x:c>
      <x:c r="F87" s="60" t="str">
        <x:v>报单有状态历史</x:v>
      </x:c>
      <x:c r="G87" s="60" t="str">
        <x:v>打开详情并查看进度/状态信息</x:v>
      </x:c>
      <x:c r="H87" s="60" t="str">
        <x:v>无</x:v>
      </x:c>
      <x:c r="I87" s="60" t="str">
        <x:v>已接入页面显示真实状态；若页面未提供统一时间线，登记为已知限制</x:v>
      </x:c>
      <x:c r="J87" s="52" t="str"/>
      <x:c r="K87" s="52" t="str">
        <x:v>未执行</x:v>
      </x:c>
      <x:c r="L87" s="52" t="str"/>
      <x:c r="M87" s="94" t="str"/>
      <x:c r="N87" s="52" t="str"/>
      <x:c r="O87" s="91" t="str"/>
      <x:c r="P87" s="2"/>
      <x:c r="Q87" s="2"/>
    </x:row>
    <x:row r="88" ht="66" customHeight="1">
      <x:c r="A88" s="83" t="str">
        <x:v>SIMPLE-001</x:v>
      </x:c>
      <x:c r="B88" s="2" t="str">
        <x:v>商标咨询</x:v>
      </x:c>
      <x:c r="C88" s="2" t="str">
        <x:v>客户</x:v>
      </x:c>
      <x:c r="D88" s="2" t="str">
        <x:v>P0</x:v>
      </x:c>
      <x:c r="E88" s="2" t="str">
        <x:v>正向</x:v>
      </x:c>
      <x:c r="F88" s="60" t="str">
        <x:v>选择商标注册咨询</x:v>
      </x:c>
      <x:c r="G88" s="60" t="str">
        <x:v>填写法人、企业名称、联系方式并勾选同意</x:v>
      </x:c>
      <x:c r="H88" s="60" t="str">
        <x:v>全部使用合成数据</x:v>
      </x:c>
      <x:c r="I88" s="60" t="str">
        <x:v>创建/保存简表成功并可提交</x:v>
      </x:c>
      <x:c r="J88" s="52" t="str"/>
      <x:c r="K88" s="52" t="str">
        <x:v>未执行</x:v>
      </x:c>
      <x:c r="L88" s="52" t="str"/>
      <x:c r="M88" s="94" t="str"/>
      <x:c r="N88" s="52" t="str"/>
      <x:c r="O88" s="91" t="str"/>
      <x:c r="P88" s="2"/>
      <x:c r="Q88" s="2"/>
    </x:row>
    <x:row r="89" ht="66" customHeight="1">
      <x:c r="A89" s="83" t="str">
        <x:v>SIMPLE-002</x:v>
      </x:c>
      <x:c r="B89" s="2" t="str">
        <x:v>资质申报</x:v>
      </x:c>
      <x:c r="C89" s="2" t="str">
        <x:v>客户</x:v>
      </x:c>
      <x:c r="D89" s="2" t="str">
        <x:v>P0</x:v>
      </x:c>
      <x:c r="E89" s="2" t="str">
        <x:v>正向</x:v>
      </x:c>
      <x:c r="F89" s="60" t="str">
        <x:v>选择资质申报服务</x:v>
      </x:c>
      <x:c r="G89" s="60" t="str">
        <x:v>填写法人、企业名称、联系方式并勾选同意</x:v>
      </x:c>
      <x:c r="H89" s="60" t="str">
        <x:v>全部使用合成数据</x:v>
      </x:c>
      <x:c r="I89" s="60" t="str">
        <x:v>创建/保存简表成功并可提交</x:v>
      </x:c>
      <x:c r="J89" s="52" t="str"/>
      <x:c r="K89" s="52" t="str">
        <x:v>未执行</x:v>
      </x:c>
      <x:c r="L89" s="52" t="str"/>
      <x:c r="M89" s="94" t="str"/>
      <x:c r="N89" s="52" t="str"/>
      <x:c r="O89" s="91" t="str"/>
      <x:c r="P89" s="2"/>
      <x:c r="Q89" s="2"/>
    </x:row>
    <x:row r="90" ht="66" customHeight="1">
      <x:c r="A90" s="83" t="str">
        <x:v>SIMPLE-003</x:v>
      </x:c>
      <x:c r="B90" s="2" t="str">
        <x:v>咨询简表</x:v>
      </x:c>
      <x:c r="C90" s="2" t="str">
        <x:v>客户</x:v>
      </x:c>
      <x:c r="D90" s="2" t="str">
        <x:v>P1</x:v>
      </x:c>
      <x:c r="E90" s="2" t="str">
        <x:v>异常</x:v>
      </x:c>
      <x:c r="F90" s="60" t="str">
        <x:v>商标或资质简表</x:v>
      </x:c>
      <x:c r="G90" s="60" t="str">
        <x:v>不勾选同意或留空必填项并提交</x:v>
      </x:c>
      <x:c r="H90" s="60" t="str">
        <x:v>无</x:v>
      </x:c>
      <x:c r="I90" s="60" t="str">
        <x:v>前端阻止并明确提示</x:v>
      </x:c>
      <x:c r="J90" s="52" t="str"/>
      <x:c r="K90" s="52" t="str">
        <x:v>未执行</x:v>
      </x:c>
      <x:c r="L90" s="52" t="str"/>
      <x:c r="M90" s="94" t="str"/>
      <x:c r="N90" s="52" t="str"/>
      <x:c r="O90" s="91" t="str"/>
      <x:c r="P90" s="2"/>
      <x:c r="Q90" s="2"/>
    </x:row>
    <x:row r="91" ht="66" customHeight="1">
      <x:c r="A91" s="83" t="str">
        <x:v>SIMPLE-004</x:v>
      </x:c>
      <x:c r="B91" s="2" t="str">
        <x:v>咨询简表</x:v>
      </x:c>
      <x:c r="C91" s="2" t="str">
        <x:v>管理员</x:v>
      </x:c>
      <x:c r="D91" s="2" t="str">
        <x:v>P1</x:v>
      </x:c>
      <x:c r="E91" s="2" t="str">
        <x:v>正向</x:v>
      </x:c>
      <x:c r="F91" s="60" t="str">
        <x:v>客户已提交简表</x:v>
      </x:c>
      <x:c r="G91" s="60" t="str">
        <x:v>后台搜索并查看该报单；更新状态</x:v>
      </x:c>
      <x:c r="H91" s="60" t="str">
        <x:v>无</x:v>
      </x:c>
      <x:c r="I91" s="60" t="str">
        <x:v>数据一致，可进入审核/处理/完成流程</x:v>
      </x:c>
      <x:c r="J91" s="52" t="str"/>
      <x:c r="K91" s="52" t="str">
        <x:v>未执行</x:v>
      </x:c>
      <x:c r="L91" s="52" t="str"/>
      <x:c r="M91" s="94" t="str"/>
      <x:c r="N91" s="52" t="str"/>
      <x:c r="O91" s="91" t="str"/>
      <x:c r="P91" s="2"/>
      <x:c r="Q91" s="2"/>
    </x:row>
    <x:row r="92" ht="66" customHeight="1">
      <x:c r="A92" s="83" t="str">
        <x:v>CAT-001</x:v>
      </x:c>
      <x:c r="B92" s="2" t="str">
        <x:v>品类匹配</x:v>
      </x:c>
      <x:c r="C92" s="2" t="str">
        <x:v>客户</x:v>
      </x:c>
      <x:c r="D92" s="2" t="str">
        <x:v>P0</x:v>
      </x:c>
      <x:c r="E92" s="2" t="str">
        <x:v>正向</x:v>
      </x:c>
      <x:c r="F92" s="60" t="str">
        <x:v>客户已登录</x:v>
      </x:c>
      <x:c r="G92" s="60" t="str">
        <x:v>进入品类匹配页；选择营业执照图片</x:v>
      </x:c>
      <x:c r="H92" s="60" t="str">
        <x:v>合成营业执照图片</x:v>
      </x:c>
      <x:c r="I92" s="60" t="str">
        <x:v>图片预览正常，输入区无溢出</x:v>
      </x:c>
      <x:c r="J92" s="52" t="str"/>
      <x:c r="K92" s="52" t="str">
        <x:v>未执行</x:v>
      </x:c>
      <x:c r="L92" s="52" t="str"/>
      <x:c r="M92" s="94" t="str"/>
      <x:c r="N92" s="52" t="str"/>
      <x:c r="O92" s="91" t="str"/>
      <x:c r="P92" s="2"/>
      <x:c r="Q92" s="2"/>
    </x:row>
    <x:row r="93" ht="66" customHeight="1">
      <x:c r="A93" s="83" t="str">
        <x:v>CAT-002</x:v>
      </x:c>
      <x:c r="B93" s="2" t="str">
        <x:v>品类匹配</x:v>
      </x:c>
      <x:c r="C93" s="2" t="str">
        <x:v>客户</x:v>
      </x:c>
      <x:c r="D93" s="2" t="str">
        <x:v>P1</x:v>
      </x:c>
      <x:c r="E93" s="2" t="str">
        <x:v>限制</x:v>
      </x:c>
      <x:c r="F93" s="60" t="str">
        <x:v>当前未配置腾讯 OCR 密钥</x:v>
      </x:c>
      <x:c r="G93" s="60" t="str">
        <x:v>点击识别</x:v>
      </x:c>
      <x:c r="H93" s="60" t="str">
        <x:v>合成图片</x:v>
      </x:c>
      <x:c r="I93" s="60" t="str">
        <x:v>明确提示 OCR 未配置，并允许手工录入继续</x:v>
      </x:c>
      <x:c r="J93" s="52" t="str"/>
      <x:c r="K93" s="52" t="str">
        <x:v>未执行</x:v>
      </x:c>
      <x:c r="L93" s="52" t="str"/>
      <x:c r="M93" s="94" t="str"/>
      <x:c r="N93" s="52" t="str"/>
      <x:c r="O93" s="91" t="str"/>
      <x:c r="P93" s="2"/>
      <x:c r="Q93" s="2"/>
    </x:row>
    <x:row r="94" ht="66" customHeight="1">
      <x:c r="A94" s="83" t="str">
        <x:v>CAT-003</x:v>
      </x:c>
      <x:c r="B94" s="2" t="str">
        <x:v>品类匹配</x:v>
      </x:c>
      <x:c r="C94" s="2" t="str">
        <x:v>客户</x:v>
      </x:c>
      <x:c r="D94" s="2" t="str">
        <x:v>P0</x:v>
      </x:c>
      <x:c r="E94" s="2" t="str">
        <x:v>正向</x:v>
      </x:c>
      <x:c r="F94" s="60" t="str">
        <x:v>可手工编辑企业信息</x:v>
      </x:c>
      <x:c r="G94" s="60" t="str">
        <x:v>输入经营范围并匹配</x:v>
      </x:c>
      <x:c r="H94" s="60" t="str">
        <x:v>软件开发；信息技术咨询；电子产品销售</x:v>
      </x:c>
      <x:c r="I94" s="60" t="str">
        <x:v>返回按行业分组的命中品类、关键词和分数</x:v>
      </x:c>
      <x:c r="J94" s="52" t="str"/>
      <x:c r="K94" s="52" t="str">
        <x:v>未执行</x:v>
      </x:c>
      <x:c r="L94" s="52" t="str"/>
      <x:c r="M94" s="94" t="str"/>
      <x:c r="N94" s="52" t="str"/>
      <x:c r="O94" s="91" t="str"/>
      <x:c r="P94" s="2"/>
      <x:c r="Q94" s="2"/>
    </x:row>
    <x:row r="95" ht="66" customHeight="1">
      <x:c r="A95" s="83" t="str">
        <x:v>CAT-004</x:v>
      </x:c>
      <x:c r="B95" s="2" t="str">
        <x:v>品类匹配</x:v>
      </x:c>
      <x:c r="C95" s="2" t="str">
        <x:v>客户</x:v>
      </x:c>
      <x:c r="D95" s="2" t="str">
        <x:v>P1</x:v>
      </x:c>
      <x:c r="E95" s="2" t="str">
        <x:v>边界</x:v>
      </x:c>
      <x:c r="F95" s="60" t="str">
        <x:v>品类匹配页</x:v>
      </x:c>
      <x:c r="G95" s="60" t="str">
        <x:v>输入无任何规则关键词的经营范围</x:v>
      </x:c>
      <x:c r="H95" s="60" t="str">
        <x:v>例如：仅作测试无匹配文本</x:v>
      </x:c>
      <x:c r="I95" s="60" t="str">
        <x:v>显示无推荐空态，不伪造结果</x:v>
      </x:c>
      <x:c r="J95" s="52" t="str"/>
      <x:c r="K95" s="52" t="str">
        <x:v>未执行</x:v>
      </x:c>
      <x:c r="L95" s="52" t="str"/>
      <x:c r="M95" s="94" t="str"/>
      <x:c r="N95" s="52" t="str"/>
      <x:c r="O95" s="91" t="str"/>
      <x:c r="P95" s="2"/>
      <x:c r="Q95" s="2"/>
    </x:row>
    <x:row r="96" ht="66" customHeight="1">
      <x:c r="A96" s="83" t="str">
        <x:v>CAT-005</x:v>
      </x:c>
      <x:c r="B96" s="2" t="str">
        <x:v>品类匹配</x:v>
      </x:c>
      <x:c r="C96" s="2" t="str">
        <x:v>客户</x:v>
      </x:c>
      <x:c r="D96" s="2" t="str">
        <x:v>P1</x:v>
      </x:c>
      <x:c r="E96" s="2" t="str">
        <x:v>交互</x:v>
      </x:c>
      <x:c r="F96" s="60" t="str">
        <x:v>已有推荐结果</x:v>
      </x:c>
      <x:c r="G96" s="60" t="str">
        <x:v>点击可办理服务</x:v>
      </x:c>
      <x:c r="H96" s="60" t="str">
        <x:v>无</x:v>
      </x:c>
      <x:c r="I96" s="60" t="str">
        <x:v>跳转到对应服务选择/报单入口</x:v>
      </x:c>
      <x:c r="J96" s="52" t="str"/>
      <x:c r="K96" s="52" t="str">
        <x:v>未执行</x:v>
      </x:c>
      <x:c r="L96" s="52" t="str"/>
      <x:c r="M96" s="94" t="str"/>
      <x:c r="N96" s="52" t="str"/>
      <x:c r="O96" s="91" t="str"/>
      <x:c r="P96" s="2"/>
      <x:c r="Q96" s="2"/>
    </x:row>
    <x:row r="97" ht="66" customHeight="1">
      <x:c r="A97" s="83" t="str">
        <x:v>DATA-001</x:v>
      </x:c>
      <x:c r="B97" s="2" t="str">
        <x:v>企业资料</x:v>
      </x:c>
      <x:c r="C97" s="2" t="str">
        <x:v>客户</x:v>
      </x:c>
      <x:c r="D97" s="2" t="str">
        <x:v>P0</x:v>
      </x:c>
      <x:c r="E97" s="2" t="str">
        <x:v>正向</x:v>
      </x:c>
      <x:c r="F97" s="60" t="str">
        <x:v>客户已登录并关联企业</x:v>
      </x:c>
      <x:c r="G97" s="60" t="str">
        <x:v>我的→企业资料</x:v>
      </x:c>
      <x:c r="H97" s="60" t="str">
        <x:v>无</x:v>
      </x:c>
      <x:c r="I97" s="60" t="str">
        <x:v>只展示当前账号有权访问的企业详情</x:v>
      </x:c>
      <x:c r="J97" s="52" t="str"/>
      <x:c r="K97" s="52" t="str">
        <x:v>未执行</x:v>
      </x:c>
      <x:c r="L97" s="52" t="str"/>
      <x:c r="M97" s="94" t="str"/>
      <x:c r="N97" s="52" t="str"/>
      <x:c r="O97" s="91" t="str"/>
      <x:c r="P97" s="2"/>
      <x:c r="Q97" s="2"/>
    </x:row>
    <x:row r="98" ht="66" customHeight="1">
      <x:c r="A98" s="83" t="str">
        <x:v>DATA-002</x:v>
      </x:c>
      <x:c r="B98" s="2" t="str">
        <x:v>企业资料</x:v>
      </x:c>
      <x:c r="C98" s="2" t="str">
        <x:v>客户</x:v>
      </x:c>
      <x:c r="D98" s="2" t="str">
        <x:v>P1</x:v>
      </x:c>
      <x:c r="E98" s="2" t="str">
        <x:v>权限</x:v>
      </x:c>
      <x:c r="F98" s="60" t="str">
        <x:v>准备另一个企业 ID</x:v>
      </x:c>
      <x:c r="G98" s="60" t="str">
        <x:v>直接修改 URL/请求另一个企业详情</x:v>
      </x:c>
      <x:c r="H98" s="60" t="str">
        <x:v>其他企业 ID</x:v>
      </x:c>
      <x:c r="I98" s="60" t="str">
        <x:v>返回 403/范围拒绝，不泄露数据</x:v>
      </x:c>
      <x:c r="J98" s="52" t="str"/>
      <x:c r="K98" s="52" t="str">
        <x:v>未执行</x:v>
      </x:c>
      <x:c r="L98" s="52" t="str"/>
      <x:c r="M98" s="94" t="str"/>
      <x:c r="N98" s="52" t="str"/>
      <x:c r="O98" s="91" t="str"/>
      <x:c r="P98" s="2"/>
      <x:c r="Q98" s="2"/>
    </x:row>
    <x:row r="99" ht="66" customHeight="1">
      <x:c r="A99" s="83" t="str">
        <x:v>MSG-001</x:v>
      </x:c>
      <x:c r="B99" s="2" t="str">
        <x:v>消息通知</x:v>
      </x:c>
      <x:c r="C99" s="2" t="str">
        <x:v>客户</x:v>
      </x:c>
      <x:c r="D99" s="2" t="str">
        <x:v>P0</x:v>
      </x:c>
      <x:c r="E99" s="2" t="str">
        <x:v>正向</x:v>
      </x:c>
      <x:c r="F99" s="60" t="str">
        <x:v>客户存在通知</x:v>
      </x:c>
      <x:c r="G99" s="60" t="str">
        <x:v>进入消息通知列表</x:v>
      </x:c>
      <x:c r="H99" s="60" t="str">
        <x:v>无</x:v>
      </x:c>
      <x:c r="I99" s="60" t="str">
        <x:v>分页、未读标识、标题和时间正常</x:v>
      </x:c>
      <x:c r="J99" s="52" t="str"/>
      <x:c r="K99" s="52" t="str">
        <x:v>未执行</x:v>
      </x:c>
      <x:c r="L99" s="52" t="str"/>
      <x:c r="M99" s="94" t="str"/>
      <x:c r="N99" s="52" t="str"/>
      <x:c r="O99" s="91" t="str"/>
      <x:c r="P99" s="2"/>
      <x:c r="Q99" s="2"/>
    </x:row>
    <x:row r="100" ht="66" customHeight="1">
      <x:c r="A100" s="83" t="str">
        <x:v>MSG-002</x:v>
      </x:c>
      <x:c r="B100" s="2" t="str">
        <x:v>消息通知</x:v>
      </x:c>
      <x:c r="C100" s="2" t="str">
        <x:v>客户</x:v>
      </x:c>
      <x:c r="D100" s="2" t="str">
        <x:v>P0</x:v>
      </x:c>
      <x:c r="E100" s="2" t="str">
        <x:v>正向</x:v>
      </x:c>
      <x:c r="F100" s="60" t="str">
        <x:v>存在未读通知</x:v>
      </x:c>
      <x:c r="G100" s="60" t="str">
        <x:v>点击通知并标记已读</x:v>
      </x:c>
      <x:c r="H100" s="60" t="str">
        <x:v>无</x:v>
      </x:c>
      <x:c r="I100" s="60" t="str">
        <x:v>未读状态消失，刷新后保持已读</x:v>
      </x:c>
      <x:c r="J100" s="52" t="str"/>
      <x:c r="K100" s="52" t="str">
        <x:v>未执行</x:v>
      </x:c>
      <x:c r="L100" s="52" t="str"/>
      <x:c r="M100" s="94" t="str"/>
      <x:c r="N100" s="52" t="str"/>
      <x:c r="O100" s="91" t="str"/>
      <x:c r="P100" s="2"/>
      <x:c r="Q100" s="2"/>
    </x:row>
    <x:row r="101" ht="66" customHeight="1">
      <x:c r="A101" s="83" t="str">
        <x:v>MSG-003</x:v>
      </x:c>
      <x:c r="B101" s="2" t="str">
        <x:v>联系客服</x:v>
      </x:c>
      <x:c r="C101" s="2" t="str">
        <x:v>客户</x:v>
      </x:c>
      <x:c r="D101" s="2" t="str">
        <x:v>P2</x:v>
      </x:c>
      <x:c r="E101" s="2" t="str">
        <x:v>限制</x:v>
      </x:c>
      <x:c r="F101" s="60" t="str">
        <x:v>H5 或微信开发者工具</x:v>
      </x:c>
      <x:c r="G101" s="60" t="str">
        <x:v>点击联系客服</x:v>
      </x:c>
      <x:c r="H101" s="60" t="str">
        <x:v>无</x:v>
      </x:c>
      <x:c r="I101" s="60" t="str">
        <x:v>H5 给出适当提示；微信环境调用客服能力；正式能力需真机配置验证</x:v>
      </x:c>
      <x:c r="J101" s="52" t="str"/>
      <x:c r="K101" s="52" t="str">
        <x:v>未执行</x:v>
      </x:c>
      <x:c r="L101" s="52" t="str"/>
      <x:c r="M101" s="94" t="str"/>
      <x:c r="N101" s="52" t="str"/>
      <x:c r="O101" s="91" t="str"/>
      <x:c r="P101" s="2"/>
      <x:c r="Q101" s="2"/>
    </x:row>
    <x:row r="102" ht="66" customHeight="1">
      <x:c r="A102" s="83" t="str">
        <x:v>IMP-001</x:v>
      </x:c>
      <x:c r="B102" s="2" t="str">
        <x:v>导入导出</x:v>
      </x:c>
      <x:c r="C102" s="2" t="str">
        <x:v>管理员</x:v>
      </x:c>
      <x:c r="D102" s="2" t="str">
        <x:v>P0</x:v>
      </x:c>
      <x:c r="E102" s="2" t="str">
        <x:v>正向</x:v>
      </x:c>
      <x:c r="F102" s="60" t="str">
        <x:v>管理员有导入权限</x:v>
      </x:c>
      <x:c r="G102" s="60" t="str">
        <x:v>下载企业导入模板</x:v>
      </x:c>
      <x:c r="H102" s="60" t="str">
        <x:v>无</x:v>
      </x:c>
      <x:c r="I102" s="60" t="str">
        <x:v>获取可下载地址/文件，表头和说明完整</x:v>
      </x:c>
      <x:c r="J102" s="52" t="str"/>
      <x:c r="K102" s="52" t="str">
        <x:v>未执行</x:v>
      </x:c>
      <x:c r="L102" s="52" t="str"/>
      <x:c r="M102" s="94" t="str"/>
      <x:c r="N102" s="52" t="str"/>
      <x:c r="O102" s="91" t="str"/>
      <x:c r="P102" s="2"/>
      <x:c r="Q102" s="2"/>
    </x:row>
    <x:row r="103" ht="66" customHeight="1">
      <x:c r="A103" s="83" t="str">
        <x:v>IMP-002</x:v>
      </x:c>
      <x:c r="B103" s="2" t="str">
        <x:v>导入导出</x:v>
      </x:c>
      <x:c r="C103" s="2" t="str">
        <x:v>管理员</x:v>
      </x:c>
      <x:c r="D103" s="2" t="str">
        <x:v>P0</x:v>
      </x:c>
      <x:c r="E103" s="2" t="str">
        <x:v>正向</x:v>
      </x:c>
      <x:c r="F103" s="60" t="str">
        <x:v>准备合成 Excel</x:v>
      </x:c>
      <x:c r="G103" s="60" t="str">
        <x:v>上传合法企业导入文件并查询任务</x:v>
      </x:c>
      <x:c r="H103" s="60" t="str">
        <x:v>仅合成企业资料</x:v>
      </x:c>
      <x:c r="I103" s="60" t="str">
        <x:v>任务最终成功，正确创建企业/成员</x:v>
      </x:c>
      <x:c r="J103" s="52" t="str"/>
      <x:c r="K103" s="52" t="str">
        <x:v>未执行</x:v>
      </x:c>
      <x:c r="L103" s="52" t="str"/>
      <x:c r="M103" s="94" t="str"/>
      <x:c r="N103" s="52" t="str"/>
      <x:c r="O103" s="91" t="str"/>
      <x:c r="P103" s="2"/>
      <x:c r="Q103" s="2"/>
    </x:row>
    <x:row r="104" ht="66" customHeight="1">
      <x:c r="A104" s="83" t="str">
        <x:v>IMP-003</x:v>
      </x:c>
      <x:c r="B104" s="2" t="str">
        <x:v>导入导出</x:v>
      </x:c>
      <x:c r="C104" s="2" t="str">
        <x:v>管理员</x:v>
      </x:c>
      <x:c r="D104" s="2" t="str">
        <x:v>P1</x:v>
      </x:c>
      <x:c r="E104" s="2" t="str">
        <x:v>异常</x:v>
      </x:c>
      <x:c r="F104" s="60" t="str">
        <x:v>准备错误 Excel</x:v>
      </x:c>
      <x:c r="G104" s="60" t="str">
        <x:v>上传缺字段、重复信用代码或非法格式文件</x:v>
      </x:c>
      <x:c r="H104" s="60" t="str">
        <x:v>合成错误数据</x:v>
      </x:c>
      <x:c r="I104" s="60" t="str">
        <x:v>任务失败或部分失败，可下载错误报告且说明行号原因</x:v>
      </x:c>
      <x:c r="J104" s="52" t="str"/>
      <x:c r="K104" s="52" t="str">
        <x:v>未执行</x:v>
      </x:c>
      <x:c r="L104" s="52" t="str"/>
      <x:c r="M104" s="94" t="str"/>
      <x:c r="N104" s="52" t="str"/>
      <x:c r="O104" s="91" t="str"/>
      <x:c r="P104" s="2"/>
      <x:c r="Q104" s="2"/>
    </x:row>
    <x:row r="105" ht="66" customHeight="1">
      <x:c r="A105" s="83" t="str">
        <x:v>EXP-001</x:v>
      </x:c>
      <x:c r="B105" s="2" t="str">
        <x:v>导入导出</x:v>
      </x:c>
      <x:c r="C105" s="2" t="str">
        <x:v>管理员</x:v>
      </x:c>
      <x:c r="D105" s="2" t="str">
        <x:v>P0</x:v>
      </x:c>
      <x:c r="E105" s="2" t="str">
        <x:v>正向</x:v>
      </x:c>
      <x:c r="F105" s="60" t="str">
        <x:v>存在报单数据</x:v>
      </x:c>
      <x:c r="G105" s="60" t="str">
        <x:v>创建审核表 Excel 导出任务；轮询状态</x:v>
      </x:c>
      <x:c r="H105" s="60" t="str">
        <x:v>选定日期/企业/状态</x:v>
      </x:c>
      <x:c r="I105" s="60" t="str">
        <x:v>任务 SUCCEEDED，获得短期下载地址</x:v>
      </x:c>
      <x:c r="J105" s="52" t="str"/>
      <x:c r="K105" s="52" t="str">
        <x:v>未执行</x:v>
      </x:c>
      <x:c r="L105" s="52" t="str"/>
      <x:c r="M105" s="94" t="str"/>
      <x:c r="N105" s="52" t="str"/>
      <x:c r="O105" s="91" t="str"/>
      <x:c r="P105" s="2"/>
      <x:c r="Q105" s="2"/>
    </x:row>
    <x:row r="106" ht="66" customHeight="1">
      <x:c r="A106" s="83" t="str">
        <x:v>EXP-002</x:v>
      </x:c>
      <x:c r="B106" s="2" t="str">
        <x:v>导入导出</x:v>
      </x:c>
      <x:c r="C106" s="2" t="str">
        <x:v>管理员</x:v>
      </x:c>
      <x:c r="D106" s="2" t="str">
        <x:v>P0</x:v>
      </x:c>
      <x:c r="E106" s="2" t="str">
        <x:v>正向</x:v>
      </x:c>
      <x:c r="F106" s="60" t="str">
        <x:v>存在贸易增量报单和文件</x:v>
      </x:c>
      <x:c r="G106" s="60" t="str">
        <x:v>创建资料 ZIP 导出任务；轮询并下载</x:v>
      </x:c>
      <x:c r="H106" s="60" t="str">
        <x:v>合成报单</x:v>
      </x:c>
      <x:c r="I106" s="60" t="str">
        <x:v>ZIP 目录结构和文件完整，敏感文件权限受控</x:v>
      </x:c>
      <x:c r="J106" s="52" t="str"/>
      <x:c r="K106" s="52" t="str">
        <x:v>未执行</x:v>
      </x:c>
      <x:c r="L106" s="52" t="str"/>
      <x:c r="M106" s="94" t="str"/>
      <x:c r="N106" s="52" t="str"/>
      <x:c r="O106" s="91" t="str"/>
      <x:c r="P106" s="2"/>
      <x:c r="Q106" s="2"/>
    </x:row>
    <x:row r="107" ht="66" customHeight="1">
      <x:c r="A107" s="83" t="str">
        <x:v>EXP-003</x:v>
      </x:c>
      <x:c r="B107" s="2" t="str">
        <x:v>导入导出</x:v>
      </x:c>
      <x:c r="C107" s="2" t="str">
        <x:v>管理员</x:v>
      </x:c>
      <x:c r="D107" s="2" t="str">
        <x:v>P1</x:v>
      </x:c>
      <x:c r="E107" s="2" t="str">
        <x:v>边界</x:v>
      </x:c>
      <x:c r="F107" s="60" t="str">
        <x:v>导出链接已生成</x:v>
      </x:c>
      <x:c r="G107" s="60" t="str">
        <x:v>等待过期或修改为过期任务后下载</x:v>
      </x:c>
      <x:c r="H107" s="60" t="str">
        <x:v>无</x:v>
      </x:c>
      <x:c r="I107" s="60" t="str">
        <x:v>过期链接不可继续使用，状态为 EXPIRED 或明确拒绝</x:v>
      </x:c>
      <x:c r="J107" s="52" t="str"/>
      <x:c r="K107" s="52" t="str">
        <x:v>未执行</x:v>
      </x:c>
      <x:c r="L107" s="52" t="str"/>
      <x:c r="M107" s="94" t="str"/>
      <x:c r="N107" s="52" t="str"/>
      <x:c r="O107" s="91" t="str"/>
      <x:c r="P107" s="2"/>
      <x:c r="Q107" s="2"/>
    </x:row>
    <x:row r="108" ht="66" customHeight="1">
      <x:c r="A108" s="83" t="str">
        <x:v>AUD-001</x:v>
      </x:c>
      <x:c r="B108" s="2" t="str">
        <x:v>审计日志</x:v>
      </x:c>
      <x:c r="C108" s="2" t="str">
        <x:v>管理员</x:v>
      </x:c>
      <x:c r="D108" s="2" t="str">
        <x:v>P1</x:v>
      </x:c>
      <x:c r="E108" s="2" t="str">
        <x:v>正向</x:v>
      </x:c>
      <x:c r="F108" s="60" t="str">
        <x:v>已执行登录、修改、审核、下载</x:v>
      </x:c>
      <x:c r="G108" s="60" t="str">
        <x:v>查询操作日志</x:v>
      </x:c>
      <x:c r="H108" s="60" t="str">
        <x:v>无</x:v>
      </x:c>
      <x:c r="I108" s="60" t="str">
        <x:v>关键操作含操作者、业务对象、时间、结果、requestId</x:v>
      </x:c>
      <x:c r="J108" s="52" t="str"/>
      <x:c r="K108" s="52" t="str">
        <x:v>未执行</x:v>
      </x:c>
      <x:c r="L108" s="52" t="str"/>
      <x:c r="M108" s="94" t="str"/>
      <x:c r="N108" s="52" t="str"/>
      <x:c r="O108" s="91" t="str"/>
      <x:c r="P108" s="2"/>
      <x:c r="Q108" s="2"/>
    </x:row>
    <x:row r="109" ht="66" customHeight="1">
      <x:c r="A109" s="83" t="str">
        <x:v>AUD-002</x:v>
      </x:c>
      <x:c r="B109" s="2" t="str">
        <x:v>审计日志</x:v>
      </x:c>
      <x:c r="C109" s="2" t="str">
        <x:v>管理员</x:v>
      </x:c>
      <x:c r="D109" s="2" t="str">
        <x:v>P1</x:v>
      </x:c>
      <x:c r="E109" s="2" t="str">
        <x:v>正向</x:v>
      </x:c>
      <x:c r="F109" s="60" t="str">
        <x:v>已预览/下载文件</x:v>
      </x:c>
      <x:c r="G109" s="60" t="str">
        <x:v>查询文件访问和下载日志</x:v>
      </x:c>
      <x:c r="H109" s="60" t="str">
        <x:v>无</x:v>
      </x:c>
      <x:c r="I109" s="60" t="str">
        <x:v>成功/拒绝均有记录，日志不含密码/银行秘密原文</x:v>
      </x:c>
      <x:c r="J109" s="52" t="str"/>
      <x:c r="K109" s="52" t="str">
        <x:v>未执行</x:v>
      </x:c>
      <x:c r="L109" s="52" t="str"/>
      <x:c r="M109" s="94" t="str"/>
      <x:c r="N109" s="52" t="str"/>
      <x:c r="O109" s="91" t="str"/>
      <x:c r="P109" s="2"/>
      <x:c r="Q109" s="2"/>
    </x:row>
    <x:row r="110" ht="66" customHeight="1">
      <x:c r="A110" s="83" t="str">
        <x:v>SEC-001</x:v>
      </x:c>
      <x:c r="B110" s="2" t="str">
        <x:v>安全与边界</x:v>
      </x:c>
      <x:c r="C110" s="2" t="str">
        <x:v>客户</x:v>
      </x:c>
      <x:c r="D110" s="2" t="str">
        <x:v>P0</x:v>
      </x:c>
      <x:c r="E110" s="2" t="str">
        <x:v>权限</x:v>
      </x:c>
      <x:c r="F110" s="60" t="str">
        <x:v>客户 A 登录</x:v>
      </x:c>
      <x:c r="G110" s="60" t="str">
        <x:v>访问客户 B 的报单、资料项或文件</x:v>
      </x:c>
      <x:c r="H110" s="60" t="str">
        <x:v>其他用户资源 ID</x:v>
      </x:c>
      <x:c r="I110" s="60" t="str">
        <x:v>返回 403/404，不泄露详情</x:v>
      </x:c>
      <x:c r="J110" s="52" t="str"/>
      <x:c r="K110" s="52" t="str">
        <x:v>未执行</x:v>
      </x:c>
      <x:c r="L110" s="52" t="str"/>
      <x:c r="M110" s="94" t="str"/>
      <x:c r="N110" s="52" t="str"/>
      <x:c r="O110" s="91" t="str"/>
      <x:c r="P110" s="2"/>
      <x:c r="Q110" s="2"/>
    </x:row>
    <x:row r="111" ht="66" customHeight="1">
      <x:c r="A111" s="83" t="str">
        <x:v>SEC-002</x:v>
      </x:c>
      <x:c r="B111" s="2" t="str">
        <x:v>安全与边界</x:v>
      </x:c>
      <x:c r="C111" s="2" t="str">
        <x:v>管理员</x:v>
      </x:c>
      <x:c r="D111" s="2" t="str">
        <x:v>P0</x:v>
      </x:c>
      <x:c r="E111" s="2" t="str">
        <x:v>权限</x:v>
      </x:c>
      <x:c r="F111" s="60" t="str">
        <x:v>受限管理员登录</x:v>
      </x:c>
      <x:c r="G111" s="60" t="str">
        <x:v>调用无权限的审核、导出或账号接口</x:v>
      </x:c>
      <x:c r="H111" s="60" t="str">
        <x:v>无</x:v>
      </x:c>
      <x:c r="I111" s="60" t="str">
        <x:v>返回 403，审计记录拒绝</x:v>
      </x:c>
      <x:c r="J111" s="52" t="str"/>
      <x:c r="K111" s="52" t="str">
        <x:v>未执行</x:v>
      </x:c>
      <x:c r="L111" s="52" t="str"/>
      <x:c r="M111" s="94" t="str"/>
      <x:c r="N111" s="52" t="str"/>
      <x:c r="O111" s="91" t="str"/>
      <x:c r="P111" s="2"/>
      <x:c r="Q111" s="2"/>
    </x:row>
    <x:row r="112" ht="66" customHeight="1">
      <x:c r="A112" s="83" t="str">
        <x:v>SEC-003</x:v>
      </x:c>
      <x:c r="B112" s="2" t="str">
        <x:v>安全与边界</x:v>
      </x:c>
      <x:c r="C112" s="2" t="str">
        <x:v>通用</x:v>
      </x:c>
      <x:c r="D112" s="2" t="str">
        <x:v>P1</x:v>
      </x:c>
      <x:c r="E112" s="2" t="str">
        <x:v>安全</x:v>
      </x:c>
      <x:c r="F112" s="60" t="str">
        <x:v>打开浏览器开发者工具和后端日志</x:v>
      </x:c>
      <x:c r="G112" s="60" t="str">
        <x:v>执行登录、开票、上传、交接操作</x:v>
      </x:c>
      <x:c r="H112" s="60" t="str">
        <x:v>合成敏感字段</x:v>
      </x:c>
      <x:c r="I112" s="60" t="str">
        <x:v>日志与前端控制台不出现明文密码、Token、银行秘密</x:v>
      </x:c>
      <x:c r="J112" s="52" t="str"/>
      <x:c r="K112" s="52" t="str">
        <x:v>未执行</x:v>
      </x:c>
      <x:c r="L112" s="52" t="str"/>
      <x:c r="M112" s="94" t="str"/>
      <x:c r="N112" s="52" t="str"/>
      <x:c r="O112" s="91" t="str"/>
      <x:c r="P112" s="2"/>
      <x:c r="Q112" s="2"/>
    </x:row>
    <x:row r="113" ht="66" customHeight="1">
      <x:c r="A113" s="83" t="str">
        <x:v>SEC-004</x:v>
      </x:c>
      <x:c r="B113" s="2" t="str">
        <x:v>安全与边界</x:v>
      </x:c>
      <x:c r="C113" s="2" t="str">
        <x:v>通用</x:v>
      </x:c>
      <x:c r="D113" s="2" t="str">
        <x:v>P1</x:v>
      </x:c>
      <x:c r="E113" s="2" t="str">
        <x:v>幂等</x:v>
      </x:c>
      <x:c r="F113" s="60" t="str">
        <x:v>准备同一幂等键</x:v>
      </x:c>
      <x:c r="G113" s="60" t="str">
        <x:v>重复创建报单、提交或发起补件请求</x:v>
      </x:c>
      <x:c r="H113" s="60" t="str">
        <x:v>相同 Idempotency-Key</x:v>
      </x:c>
      <x:c r="I113" s="60" t="str">
        <x:v>仅产生一个业务结果；重复请求返回同一结果或冲突说明</x:v>
      </x:c>
      <x:c r="J113" s="52" t="str"/>
      <x:c r="K113" s="52" t="str">
        <x:v>未执行</x:v>
      </x:c>
      <x:c r="L113" s="52" t="str"/>
      <x:c r="M113" s="94" t="str"/>
      <x:c r="N113" s="52" t="str"/>
      <x:c r="O113" s="91" t="str"/>
      <x:c r="P113" s="2"/>
      <x:c r="Q113" s="2"/>
    </x:row>
    <x:row r="114" ht="66" customHeight="1">
      <x:c r="A114" s="83" t="str">
        <x:v>SEC-005</x:v>
      </x:c>
      <x:c r="B114" s="2" t="str">
        <x:v>安全与边界</x:v>
      </x:c>
      <x:c r="C114" s="2" t="str">
        <x:v>管理员</x:v>
      </x:c>
      <x:c r="D114" s="2" t="str">
        <x:v>P1</x:v>
      </x:c>
      <x:c r="E114" s="2" t="str">
        <x:v>并发</x:v>
      </x:c>
      <x:c r="F114" s="60" t="str">
        <x:v>打开同一资料项两个窗口</x:v>
      </x:c>
      <x:c r="G114" s="60" t="str">
        <x:v>窗口 A 审核后，窗口 B 用旧 version 再提交</x:v>
      </x:c>
      <x:c r="H114" s="60" t="str">
        <x:v>旧版本号</x:v>
      </x:c>
      <x:c r="I114" s="60" t="str">
        <x:v>返回 OPTIMISTIC_LOCK_CONFLICT，不能覆盖新结果</x:v>
      </x:c>
      <x:c r="J114" s="52" t="str"/>
      <x:c r="K114" s="52" t="str">
        <x:v>未执行</x:v>
      </x:c>
      <x:c r="L114" s="52" t="str"/>
      <x:c r="M114" s="94" t="str"/>
      <x:c r="N114" s="52" t="str"/>
      <x:c r="O114" s="91" t="str"/>
      <x:c r="P114" s="2"/>
      <x:c r="Q114" s="2"/>
    </x:row>
    <x:row r="115" ht="66" customHeight="1">
      <x:c r="A115" s="83" t="str">
        <x:v>SEC-006</x:v>
      </x:c>
      <x:c r="B115" s="2" t="str">
        <x:v>安全与边界</x:v>
      </x:c>
      <x:c r="C115" s="2" t="str">
        <x:v>通用</x:v>
      </x:c>
      <x:c r="D115" s="2" t="str">
        <x:v>P2</x:v>
      </x:c>
      <x:c r="E115" s="2" t="str">
        <x:v>兼容</x:v>
      </x:c>
      <x:c r="F115" s="60" t="str">
        <x:v>Chrome/Edge 与 390×844 视口</x:v>
      </x:c>
      <x:c r="G115" s="60" t="str">
        <x:v>完成登录、导航、弹窗、长列表和表单</x:v>
      </x:c>
      <x:c r="H115" s="60" t="str">
        <x:v>无</x:v>
      </x:c>
      <x:c r="I115" s="60" t="str">
        <x:v>无横向溢出、遮挡、双头部、不可点击区域</x:v>
      </x:c>
      <x:c r="J115" s="52" t="str"/>
      <x:c r="K115" s="52" t="str">
        <x:v>未执行</x:v>
      </x:c>
      <x:c r="L115" s="52" t="str"/>
      <x:c r="M115" s="94" t="str"/>
      <x:c r="N115" s="52" t="str"/>
      <x:c r="O115" s="91" t="str"/>
      <x:c r="P115" s="2"/>
      <x:c r="Q115" s="2"/>
    </x:row>
    <x:row r="116" ht="66" customHeight="1">
      <x:c r="A116" s="83" t="str">
        <x:v>SEC-007</x:v>
      </x:c>
      <x:c r="B116" s="2" t="str">
        <x:v>安全与边界</x:v>
      </x:c>
      <x:c r="C116" s="2" t="str">
        <x:v>通用</x:v>
      </x:c>
      <x:c r="D116" s="2" t="str">
        <x:v>P1</x:v>
      </x:c>
      <x:c r="E116" s="2" t="str">
        <x:v>恢复</x:v>
      </x:c>
      <x:c r="F116" s="60" t="str">
        <x:v>服务运行中</x:v>
      </x:c>
      <x:c r="G116" s="60" t="str">
        <x:v>依次重启前端、后端、容器并重新访问</x:v>
      </x:c>
      <x:c r="H116" s="60" t="str">
        <x:v>无</x:v>
      </x:c>
      <x:c r="I116" s="60" t="str">
        <x:v>数据卷保留，服务可恢复；旧 Token 的行为符合会话设计</x:v>
      </x:c>
      <x:c r="J116" s="52" t="str"/>
      <x:c r="K116" s="52" t="str">
        <x:v>未执行</x:v>
      </x:c>
      <x:c r="L116" s="52" t="str"/>
      <x:c r="M116" s="94" t="str"/>
      <x:c r="N116" s="52" t="str"/>
      <x:c r="O116" s="91" t="str"/>
      <x:c r="P116" s="2"/>
      <x:c r="Q116" s="2"/>
    </x:row>
    <x:row r="117" ht="66" customHeight="1">
      <x:c r="A117" s="85" t="str">
        <x:v>SEC-008</x:v>
      </x:c>
      <x:c r="B117" s="86" t="str">
        <x:v>安全与边界</x:v>
      </x:c>
      <x:c r="C117" s="86" t="str">
        <x:v>通用</x:v>
      </x:c>
      <x:c r="D117" s="86" t="str">
        <x:v>P0</x:v>
      </x:c>
      <x:c r="E117" s="86" t="str">
        <x:v>数据安全</x:v>
      </x:c>
      <x:c r="F117" s="89" t="str">
        <x:v>全流程准备测试数据</x:v>
      </x:c>
      <x:c r="G117" s="89" t="str">
        <x:v>复核所有录入/上传内容</x:v>
      </x:c>
      <x:c r="H117" s="89" t="str">
        <x:v>只允许合成数据</x:v>
      </x:c>
      <x:c r="I117" s="89" t="str">
        <x:v>未使用真实身份证、征信、银行账号、手机号或生产密钥</x:v>
      </x:c>
      <x:c r="J117" s="92" t="str"/>
      <x:c r="K117" s="92" t="str">
        <x:v>未执行</x:v>
      </x:c>
      <x:c r="L117" s="92" t="str"/>
      <x:c r="M117" s="95" t="str"/>
      <x:c r="N117" s="92" t="str"/>
      <x:c r="O117" s="93" t="str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96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96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96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96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96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96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96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96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96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96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96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96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96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96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96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96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96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96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96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96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96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96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96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96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96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96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96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96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96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96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96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96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96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96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96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96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96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96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96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96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96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96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96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96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96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96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96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96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96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96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96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96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96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96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96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96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96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96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96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96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96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96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96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96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96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96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96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96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96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96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96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96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96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96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96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96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96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96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96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96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96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96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96"/>
      <x:c r="N200" s="2"/>
      <x:c r="O200" s="2"/>
      <x:c r="P200" s="2"/>
      <x:c r="Q200" s="2"/>
    </x:row>
    <x:row r="201">
      <x:c r="M201" s="97"/>
    </x:row>
    <x:row r="202">
      <x:c r="M202" s="97"/>
    </x:row>
    <x:row r="203">
      <x:c r="M203" s="97"/>
    </x:row>
    <x:row r="204">
      <x:c r="M204" s="97"/>
    </x:row>
    <x:row r="205">
      <x:c r="M205" s="97"/>
    </x:row>
    <x:row r="206">
      <x:c r="M206" s="97"/>
    </x:row>
    <x:row r="207">
      <x:c r="M207" s="97"/>
    </x:row>
    <x:row r="208">
      <x:c r="M208" s="97"/>
    </x:row>
    <x:row r="209">
      <x:c r="M209" s="97"/>
    </x:row>
    <x:row r="210">
      <x:c r="M210" s="97"/>
    </x:row>
    <x:row r="211">
      <x:c r="M211" s="97"/>
    </x:row>
    <x:row r="212">
      <x:c r="M212" s="97"/>
    </x:row>
    <x:row r="213">
      <x:c r="M213" s="97"/>
    </x:row>
    <x:row r="214">
      <x:c r="M214" s="97"/>
    </x:row>
    <x:row r="215">
      <x:c r="M215" s="97"/>
    </x:row>
    <x:row r="216">
      <x:c r="M216" s="97"/>
    </x:row>
    <x:row r="217">
      <x:c r="M217" s="97"/>
    </x:row>
    <x:row r="218">
      <x:c r="M218" s="97"/>
    </x:row>
    <x:row r="219">
      <x:c r="M219" s="97"/>
    </x:row>
    <x:row r="220">
      <x:c r="M220" s="97"/>
    </x:row>
    <x:row r="221">
      <x:c r="M221" s="97"/>
    </x:row>
    <x:row r="222">
      <x:c r="M222" s="97"/>
    </x:row>
    <x:row r="223">
      <x:c r="M223" s="97"/>
    </x:row>
    <x:row r="224">
      <x:c r="M224" s="97"/>
    </x:row>
    <x:row r="225">
      <x:c r="M225" s="97"/>
    </x:row>
    <x:row r="226">
      <x:c r="M226" s="97"/>
    </x:row>
    <x:row r="227">
      <x:c r="M227" s="97"/>
    </x:row>
    <x:row r="228">
      <x:c r="M228" s="97"/>
    </x:row>
    <x:row r="229">
      <x:c r="M229" s="97"/>
    </x:row>
    <x:row r="230">
      <x:c r="M230" s="97"/>
    </x:row>
    <x:row r="231">
      <x:c r="M231" s="97"/>
    </x:row>
    <x:row r="232">
      <x:c r="M232" s="97"/>
    </x:row>
    <x:row r="233">
      <x:c r="M233" s="97"/>
    </x:row>
    <x:row r="234">
      <x:c r="M234" s="97"/>
    </x:row>
    <x:row r="235">
      <x:c r="M235" s="97"/>
    </x:row>
    <x:row r="236">
      <x:c r="M236" s="97"/>
    </x:row>
    <x:row r="237">
      <x:c r="M237" s="97"/>
    </x:row>
    <x:row r="238">
      <x:c r="M238" s="97"/>
    </x:row>
    <x:row r="239">
      <x:c r="M239" s="97"/>
    </x:row>
    <x:row r="240">
      <x:c r="M240" s="97"/>
    </x:row>
    <x:row r="241">
      <x:c r="M241" s="97"/>
    </x:row>
    <x:row r="242">
      <x:c r="M242" s="97"/>
    </x:row>
    <x:row r="243">
      <x:c r="M243" s="97"/>
    </x:row>
    <x:row r="244">
      <x:c r="M244" s="97"/>
    </x:row>
    <x:row r="245">
      <x:c r="M245" s="97"/>
    </x:row>
    <x:row r="246">
      <x:c r="M246" s="97"/>
    </x:row>
    <x:row r="247">
      <x:c r="M247" s="97"/>
    </x:row>
    <x:row r="248">
      <x:c r="M248" s="97"/>
    </x:row>
    <x:row r="249">
      <x:c r="M249" s="97"/>
    </x:row>
    <x:row r="250">
      <x:c r="M250" s="97"/>
    </x:row>
    <x:row r="251">
      <x:c r="M251" s="97"/>
    </x:row>
    <x:row r="252">
      <x:c r="M252" s="97"/>
    </x:row>
    <x:row r="253">
      <x:c r="M253" s="97"/>
    </x:row>
    <x:row r="254">
      <x:c r="M254" s="97"/>
    </x:row>
    <x:row r="255">
      <x:c r="M255" s="97"/>
    </x:row>
    <x:row r="256">
      <x:c r="M256" s="97"/>
    </x:row>
    <x:row r="257">
      <x:c r="M257" s="97"/>
    </x:row>
    <x:row r="258">
      <x:c r="M258" s="97"/>
    </x:row>
    <x:row r="259">
      <x:c r="M259" s="97"/>
    </x:row>
    <x:row r="260">
      <x:c r="M260" s="97"/>
    </x:row>
    <x:row r="261">
      <x:c r="M261" s="97"/>
    </x:row>
    <x:row r="262">
      <x:c r="M262" s="97"/>
    </x:row>
    <x:row r="263">
      <x:c r="M263" s="97"/>
    </x:row>
    <x:row r="264">
      <x:c r="M264" s="97"/>
    </x:row>
    <x:row r="265">
      <x:c r="M265" s="97"/>
    </x:row>
    <x:row r="266">
      <x:c r="M266" s="97"/>
    </x:row>
    <x:row r="267">
      <x:c r="M267" s="97"/>
    </x:row>
    <x:row r="268">
      <x:c r="M268" s="97"/>
    </x:row>
    <x:row r="269">
      <x:c r="M269" s="97"/>
    </x:row>
    <x:row r="270">
      <x:c r="M270" s="97"/>
    </x:row>
    <x:row r="271">
      <x:c r="M271" s="97"/>
    </x:row>
    <x:row r="272">
      <x:c r="M272" s="97"/>
    </x:row>
    <x:row r="273">
      <x:c r="M273" s="97"/>
    </x:row>
    <x:row r="274">
      <x:c r="M274" s="97"/>
    </x:row>
    <x:row r="275">
      <x:c r="M275" s="97"/>
    </x:row>
    <x:row r="276">
      <x:c r="M276" s="97"/>
    </x:row>
    <x:row r="277">
      <x:c r="M277" s="97"/>
    </x:row>
    <x:row r="278">
      <x:c r="M278" s="97"/>
    </x:row>
    <x:row r="279">
      <x:c r="M279" s="97"/>
    </x:row>
    <x:row r="280">
      <x:c r="M280" s="97"/>
    </x:row>
    <x:row r="281">
      <x:c r="M281" s="97"/>
    </x:row>
    <x:row r="282">
      <x:c r="M282" s="97"/>
    </x:row>
    <x:row r="283">
      <x:c r="M283" s="97"/>
    </x:row>
    <x:row r="284">
      <x:c r="M284" s="97"/>
    </x:row>
    <x:row r="285">
      <x:c r="M285" s="97"/>
    </x:row>
    <x:row r="286">
      <x:c r="M286" s="97"/>
    </x:row>
    <x:row r="287">
      <x:c r="M287" s="97"/>
    </x:row>
    <x:row r="288">
      <x:c r="M288" s="97"/>
    </x:row>
    <x:row r="289">
      <x:c r="M289" s="97"/>
    </x:row>
    <x:row r="290">
      <x:c r="M290" s="97"/>
    </x:row>
    <x:row r="291">
      <x:c r="M291" s="97"/>
    </x:row>
    <x:row r="292">
      <x:c r="M292" s="97"/>
    </x:row>
    <x:row r="293">
      <x:c r="M293" s="97"/>
    </x:row>
    <x:row r="294">
      <x:c r="M294" s="97"/>
    </x:row>
    <x:row r="295">
      <x:c r="M295" s="97"/>
    </x:row>
    <x:row r="296">
      <x:c r="M296" s="97"/>
    </x:row>
    <x:row r="297">
      <x:c r="M297" s="97"/>
    </x:row>
    <x:row r="298">
      <x:c r="M298" s="97"/>
    </x:row>
    <x:row r="299">
      <x:c r="M299" s="97"/>
    </x:row>
    <x:row r="300">
      <x:c r="M300" s="97"/>
    </x:row>
    <x:row r="301">
      <x:c r="M301" s="97"/>
    </x:row>
    <x:row r="302">
      <x:c r="M302" s="97"/>
    </x:row>
    <x:row r="303">
      <x:c r="M303" s="97"/>
    </x:row>
    <x:row r="304">
      <x:c r="M304" s="97"/>
    </x:row>
    <x:row r="305">
      <x:c r="M305" s="97"/>
    </x:row>
    <x:row r="306">
      <x:c r="M306" s="97"/>
    </x:row>
    <x:row r="307">
      <x:c r="M307" s="97"/>
    </x:row>
    <x:row r="308">
      <x:c r="M308" s="97"/>
    </x:row>
    <x:row r="309">
      <x:c r="M309" s="97"/>
    </x:row>
    <x:row r="310">
      <x:c r="M310" s="97"/>
    </x:row>
    <x:row r="311">
      <x:c r="M311" s="97"/>
    </x:row>
    <x:row r="312">
      <x:c r="M312" s="97"/>
    </x:row>
    <x:row r="313">
      <x:c r="M313" s="97"/>
    </x:row>
    <x:row r="314">
      <x:c r="M314" s="97"/>
    </x:row>
    <x:row r="315">
      <x:c r="M315" s="97"/>
    </x:row>
    <x:row r="316">
      <x:c r="M316" s="97"/>
    </x:row>
    <x:row r="317">
      <x:c r="M317" s="97"/>
    </x:row>
    <x:row r="318">
      <x:c r="M318" s="97"/>
    </x:row>
    <x:row r="319">
      <x:c r="M319" s="97"/>
    </x:row>
    <x:row r="320">
      <x:c r="M320" s="97"/>
    </x:row>
    <x:row r="321">
      <x:c r="M321" s="97"/>
    </x:row>
    <x:row r="322">
      <x:c r="M322" s="97"/>
    </x:row>
    <x:row r="323">
      <x:c r="M323" s="97"/>
    </x:row>
    <x:row r="324">
      <x:c r="M324" s="97"/>
    </x:row>
    <x:row r="325">
      <x:c r="M325" s="97"/>
    </x:row>
    <x:row r="326">
      <x:c r="M326" s="97"/>
    </x:row>
    <x:row r="327">
      <x:c r="M327" s="97"/>
    </x:row>
    <x:row r="328">
      <x:c r="M328" s="97"/>
    </x:row>
    <x:row r="329">
      <x:c r="M329" s="97"/>
    </x:row>
    <x:row r="330">
      <x:c r="M330" s="97"/>
    </x:row>
    <x:row r="331">
      <x:c r="M331" s="97"/>
    </x:row>
    <x:row r="332">
      <x:c r="M332" s="97"/>
    </x:row>
    <x:row r="333">
      <x:c r="M333" s="97"/>
    </x:row>
    <x:row r="334">
      <x:c r="M334" s="97"/>
    </x:row>
    <x:row r="335">
      <x:c r="M335" s="97"/>
    </x:row>
    <x:row r="336">
      <x:c r="M336" s="97"/>
    </x:row>
    <x:row r="337">
      <x:c r="M337" s="97"/>
    </x:row>
    <x:row r="338">
      <x:c r="M338" s="97"/>
    </x:row>
    <x:row r="339">
      <x:c r="M339" s="97"/>
    </x:row>
    <x:row r="340">
      <x:c r="M340" s="97"/>
    </x:row>
    <x:row r="341">
      <x:c r="M341" s="97"/>
    </x:row>
    <x:row r="342">
      <x:c r="M342" s="97"/>
    </x:row>
    <x:row r="343">
      <x:c r="M343" s="97"/>
    </x:row>
    <x:row r="344">
      <x:c r="M344" s="97"/>
    </x:row>
    <x:row r="345">
      <x:c r="M345" s="97"/>
    </x:row>
    <x:row r="346">
      <x:c r="M346" s="97"/>
    </x:row>
    <x:row r="347">
      <x:c r="M347" s="97"/>
    </x:row>
    <x:row r="348">
      <x:c r="M348" s="97"/>
    </x:row>
    <x:row r="349">
      <x:c r="M349" s="97"/>
    </x:row>
    <x:row r="350">
      <x:c r="M350" s="97"/>
    </x:row>
    <x:row r="351">
      <x:c r="M351" s="97"/>
    </x:row>
    <x:row r="352">
      <x:c r="M352" s="97"/>
    </x:row>
    <x:row r="353">
      <x:c r="M353" s="97"/>
    </x:row>
    <x:row r="354">
      <x:c r="M354" s="97"/>
    </x:row>
    <x:row r="355">
      <x:c r="M355" s="97"/>
    </x:row>
    <x:row r="356">
      <x:c r="M356" s="97"/>
    </x:row>
    <x:row r="357">
      <x:c r="M357" s="97"/>
    </x:row>
    <x:row r="358">
      <x:c r="M358" s="97"/>
    </x:row>
    <x:row r="359">
      <x:c r="M359" s="97"/>
    </x:row>
    <x:row r="360">
      <x:c r="M360" s="97"/>
    </x:row>
    <x:row r="361">
      <x:c r="M361" s="97"/>
    </x:row>
    <x:row r="362">
      <x:c r="M362" s="97"/>
    </x:row>
    <x:row r="363">
      <x:c r="M363" s="97"/>
    </x:row>
    <x:row r="364">
      <x:c r="M364" s="97"/>
    </x:row>
    <x:row r="365">
      <x:c r="M365" s="97"/>
    </x:row>
    <x:row r="366">
      <x:c r="M366" s="97"/>
    </x:row>
    <x:row r="367">
      <x:c r="M367" s="97"/>
    </x:row>
    <x:row r="368">
      <x:c r="M368" s="97"/>
    </x:row>
    <x:row r="369">
      <x:c r="M369" s="97"/>
    </x:row>
    <x:row r="370">
      <x:c r="M370" s="97"/>
    </x:row>
    <x:row r="371">
      <x:c r="M371" s="97"/>
    </x:row>
    <x:row r="372">
      <x:c r="M372" s="97"/>
    </x:row>
    <x:row r="373">
      <x:c r="M373" s="97"/>
    </x:row>
    <x:row r="374">
      <x:c r="M374" s="97"/>
    </x:row>
    <x:row r="375">
      <x:c r="M375" s="97"/>
    </x:row>
    <x:row r="376">
      <x:c r="M376" s="97"/>
    </x:row>
    <x:row r="377">
      <x:c r="M377" s="97"/>
    </x:row>
    <x:row r="378">
      <x:c r="M378" s="97"/>
    </x:row>
    <x:row r="379">
      <x:c r="M379" s="97"/>
    </x:row>
    <x:row r="380">
      <x:c r="M380" s="97"/>
    </x:row>
    <x:row r="381">
      <x:c r="M381" s="97"/>
    </x:row>
    <x:row r="382">
      <x:c r="M382" s="97"/>
    </x:row>
    <x:row r="383">
      <x:c r="M383" s="97"/>
    </x:row>
    <x:row r="384">
      <x:c r="M384" s="97"/>
    </x:row>
    <x:row r="385">
      <x:c r="M385" s="97"/>
    </x:row>
    <x:row r="386">
      <x:c r="M386" s="97"/>
    </x:row>
    <x:row r="387">
      <x:c r="M387" s="97"/>
    </x:row>
    <x:row r="388">
      <x:c r="M388" s="97"/>
    </x:row>
    <x:row r="389">
      <x:c r="M389" s="97"/>
    </x:row>
    <x:row r="390">
      <x:c r="M390" s="97"/>
    </x:row>
    <x:row r="391">
      <x:c r="M391" s="97"/>
    </x:row>
    <x:row r="392">
      <x:c r="M392" s="97"/>
    </x:row>
    <x:row r="393">
      <x:c r="M393" s="97"/>
    </x:row>
    <x:row r="394">
      <x:c r="M394" s="97"/>
    </x:row>
    <x:row r="395">
      <x:c r="M395" s="97"/>
    </x:row>
    <x:row r="396">
      <x:c r="M396" s="97"/>
    </x:row>
    <x:row r="397">
      <x:c r="M397" s="97"/>
    </x:row>
    <x:row r="398">
      <x:c r="M398" s="97"/>
    </x:row>
    <x:row r="399">
      <x:c r="M399" s="97"/>
    </x:row>
    <x:row r="400">
      <x:c r="M400" s="97"/>
    </x:row>
    <x:row r="401">
      <x:c r="M401" s="97"/>
    </x:row>
    <x:row r="402">
      <x:c r="M402" s="97"/>
    </x:row>
    <x:row r="403">
      <x:c r="M403" s="97"/>
    </x:row>
    <x:row r="404">
      <x:c r="M404" s="97"/>
    </x:row>
    <x:row r="405">
      <x:c r="M405" s="97"/>
    </x:row>
    <x:row r="406">
      <x:c r="M406" s="97"/>
    </x:row>
    <x:row r="407">
      <x:c r="M407" s="97"/>
    </x:row>
    <x:row r="408">
      <x:c r="M408" s="97"/>
    </x:row>
    <x:row r="409">
      <x:c r="M409" s="97"/>
    </x:row>
    <x:row r="410">
      <x:c r="M410" s="97"/>
    </x:row>
    <x:row r="411">
      <x:c r="M411" s="97"/>
    </x:row>
    <x:row r="412">
      <x:c r="M412" s="97"/>
    </x:row>
    <x:row r="413">
      <x:c r="M413" s="97"/>
    </x:row>
    <x:row r="414">
      <x:c r="M414" s="97"/>
    </x:row>
    <x:row r="415">
      <x:c r="M415" s="97"/>
    </x:row>
    <x:row r="416">
      <x:c r="M416" s="97"/>
    </x:row>
    <x:row r="417">
      <x:c r="M417" s="97"/>
    </x:row>
    <x:row r="418">
      <x:c r="M418" s="97"/>
    </x:row>
    <x:row r="419">
      <x:c r="M419" s="97"/>
    </x:row>
    <x:row r="420">
      <x:c r="M420" s="97"/>
    </x:row>
    <x:row r="421">
      <x:c r="M421" s="97"/>
    </x:row>
    <x:row r="422">
      <x:c r="M422" s="97"/>
    </x:row>
    <x:row r="423">
      <x:c r="M423" s="97"/>
    </x:row>
    <x:row r="424">
      <x:c r="M424" s="97"/>
    </x:row>
    <x:row r="425">
      <x:c r="M425" s="97"/>
    </x:row>
    <x:row r="426">
      <x:c r="M426" s="97"/>
    </x:row>
    <x:row r="427">
      <x:c r="M427" s="97"/>
    </x:row>
    <x:row r="428">
      <x:c r="M428" s="97"/>
    </x:row>
    <x:row r="429">
      <x:c r="M429" s="97"/>
    </x:row>
    <x:row r="430">
      <x:c r="M430" s="97"/>
    </x:row>
    <x:row r="431">
      <x:c r="M431" s="97"/>
    </x:row>
    <x:row r="432">
      <x:c r="M432" s="97"/>
    </x:row>
    <x:row r="433">
      <x:c r="M433" s="97"/>
    </x:row>
    <x:row r="434">
      <x:c r="M434" s="97"/>
    </x:row>
    <x:row r="435">
      <x:c r="M435" s="97"/>
    </x:row>
    <x:row r="436">
      <x:c r="M436" s="97"/>
    </x:row>
    <x:row r="437">
      <x:c r="M437" s="97"/>
    </x:row>
    <x:row r="438">
      <x:c r="M438" s="97"/>
    </x:row>
    <x:row r="439">
      <x:c r="M439" s="97"/>
    </x:row>
    <x:row r="440">
      <x:c r="M440" s="97"/>
    </x:row>
    <x:row r="441">
      <x:c r="M441" s="97"/>
    </x:row>
    <x:row r="442">
      <x:c r="M442" s="97"/>
    </x:row>
    <x:row r="443">
      <x:c r="M443" s="97"/>
    </x:row>
    <x:row r="444">
      <x:c r="M444" s="97"/>
    </x:row>
    <x:row r="445">
      <x:c r="M445" s="97"/>
    </x:row>
    <x:row r="446">
      <x:c r="M446" s="97"/>
    </x:row>
    <x:row r="447">
      <x:c r="M447" s="97"/>
    </x:row>
    <x:row r="448">
      <x:c r="M448" s="97"/>
    </x:row>
    <x:row r="449">
      <x:c r="M449" s="97"/>
    </x:row>
    <x:row r="450">
      <x:c r="M450" s="97"/>
    </x:row>
    <x:row r="451">
      <x:c r="M451" s="97"/>
    </x:row>
    <x:row r="452">
      <x:c r="M452" s="97"/>
    </x:row>
    <x:row r="453">
      <x:c r="M453" s="97"/>
    </x:row>
    <x:row r="454">
      <x:c r="M454" s="97"/>
    </x:row>
    <x:row r="455">
      <x:c r="M455" s="97"/>
    </x:row>
    <x:row r="456">
      <x:c r="M456" s="97"/>
    </x:row>
    <x:row r="457">
      <x:c r="M457" s="97"/>
    </x:row>
    <x:row r="458">
      <x:c r="M458" s="97"/>
    </x:row>
    <x:row r="459">
      <x:c r="M459" s="97"/>
    </x:row>
    <x:row r="460">
      <x:c r="M460" s="97"/>
    </x:row>
    <x:row r="461">
      <x:c r="M461" s="97"/>
    </x:row>
    <x:row r="462">
      <x:c r="M462" s="97"/>
    </x:row>
    <x:row r="463">
      <x:c r="M463" s="97"/>
    </x:row>
    <x:row r="464">
      <x:c r="M464" s="97"/>
    </x:row>
    <x:row r="465">
      <x:c r="M465" s="97"/>
    </x:row>
    <x:row r="466">
      <x:c r="M466" s="97"/>
    </x:row>
    <x:row r="467">
      <x:c r="M467" s="97"/>
    </x:row>
    <x:row r="468">
      <x:c r="M468" s="97"/>
    </x:row>
    <x:row r="469">
      <x:c r="M469" s="97"/>
    </x:row>
    <x:row r="470">
      <x:c r="M470" s="97"/>
    </x:row>
    <x:row r="471">
      <x:c r="M471" s="97"/>
    </x:row>
    <x:row r="472">
      <x:c r="M472" s="97"/>
    </x:row>
    <x:row r="473">
      <x:c r="M473" s="97"/>
    </x:row>
    <x:row r="474">
      <x:c r="M474" s="97"/>
    </x:row>
    <x:row r="475">
      <x:c r="M475" s="97"/>
    </x:row>
    <x:row r="476">
      <x:c r="M476" s="97"/>
    </x:row>
    <x:row r="477">
      <x:c r="M477" s="97"/>
    </x:row>
    <x:row r="478">
      <x:c r="M478" s="97"/>
    </x:row>
    <x:row r="479">
      <x:c r="M479" s="97"/>
    </x:row>
    <x:row r="480">
      <x:c r="M480" s="97"/>
    </x:row>
    <x:row r="481">
      <x:c r="M481" s="97"/>
    </x:row>
    <x:row r="482">
      <x:c r="M482" s="97"/>
    </x:row>
    <x:row r="483">
      <x:c r="M483" s="97"/>
    </x:row>
    <x:row r="484">
      <x:c r="M484" s="97"/>
    </x:row>
    <x:row r="485">
      <x:c r="M485" s="97"/>
    </x:row>
    <x:row r="486">
      <x:c r="M486" s="97"/>
    </x:row>
    <x:row r="487">
      <x:c r="M487" s="97"/>
    </x:row>
    <x:row r="488">
      <x:c r="M488" s="97"/>
    </x:row>
    <x:row r="489">
      <x:c r="M489" s="97"/>
    </x:row>
    <x:row r="490">
      <x:c r="M490" s="97"/>
    </x:row>
    <x:row r="491">
      <x:c r="M491" s="97"/>
    </x:row>
    <x:row r="492">
      <x:c r="M492" s="97"/>
    </x:row>
    <x:row r="493">
      <x:c r="M493" s="97"/>
    </x:row>
    <x:row r="494">
      <x:c r="M494" s="97"/>
    </x:row>
    <x:row r="495">
      <x:c r="M495" s="97"/>
    </x:row>
    <x:row r="496">
      <x:c r="M496" s="97"/>
    </x:row>
    <x:row r="497">
      <x:c r="M497" s="97"/>
    </x:row>
    <x:row r="498">
      <x:c r="M498" s="97"/>
    </x:row>
    <x:row r="499">
      <x:c r="M499" s="97"/>
    </x:row>
    <x:row r="500">
      <x:c r="M500" s="97"/>
    </x:row>
  </x:sheetData>
  <x:mergeCells>
    <x:mergeCell ref="A2:O2"/>
    <x:mergeCell ref="A4:O4"/>
  </x:mergeCells>
  <x:conditionalFormatting sqref="K7:K500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  <x:cfRule type="containsText" dxfId="3" priority="4" operator="containsText" text="未执行"/>
  </x:conditionalFormatting>
  <x:dataValidations count="2">
    <x:dataValidation type="list" sqref="K7:K500">
      <x:formula1>"未执行,通过,失败,阻塞,不适用"</x:formula1>
    </x:dataValidation>
    <x:dataValidation type="list" sqref="D7:D50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4da5d570d14ef1"/>
  </x:tableParts>
</x:worksheet>
</file>

<file path=xl/worksheets/sheet3.xml><?xml version="1.0" encoding="utf-8"?>
<x:worksheet xmlns:x="http://schemas.openxmlformats.org/spreadsheetml/2006/main">
  <x:sheetPr>
    <x:tabColor rgb="FF6B8E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2" hidden="0" customWidth="1"/>
    <x:col min="4" max="4" width="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本地手工测试数据模板</x:v>
      </x:c>
      <x:c r="B2" s="3"/>
      <x:c r="C2" s="3"/>
      <x:c r="D2" s="3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76" t="str">
        <x:v>以下全部为本地合成数据。可复制使用，但不要替换为真实客户身份证、征信、银行账号、手机号或生产密钥。</x:v>
      </x:c>
      <x:c r="B4" s="76"/>
      <x:c r="C4" s="76"/>
      <x:c r="D4" s="76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99" t="str">
        <x:v>分类</x:v>
      </x:c>
      <x:c r="B6" s="100" t="str">
        <x:v>字段</x:v>
      </x:c>
      <x:c r="C6" s="100" t="str">
        <x:v>建议值</x:v>
      </x:c>
      <x:c r="D6" s="101" t="str">
        <x:v>用途/说明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105" t="str">
        <x:v>管理员</x:v>
      </x:c>
      <x:c r="B7" s="60" t="str">
        <x:v>用户名</x:v>
      </x:c>
      <x:c r="C7" s="106" t="str">
        <x:v>manual_admin_20261012</x:v>
      </x:c>
      <x:c r="D7" s="88" t="str">
        <x:v>本轮新增的本地合成超级管理员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34" customHeight="1">
      <x:c r="A8" s="105" t="str">
        <x:v>管理员</x:v>
      </x:c>
      <x:c r="B8" s="60" t="str">
        <x:v>密码</x:v>
      </x:c>
      <x:c r="C8" s="106" t="str">
        <x:v>ManualAdmin-2026!</x:v>
      </x:c>
      <x:c r="D8" s="88" t="str">
        <x:v>仅本地测试；不要用于其他环境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4" customHeight="1">
      <x:c r="A9" s="105" t="str">
        <x:v>客户</x:v>
      </x:c>
      <x:c r="B9" s="60" t="str">
        <x:v>用户名</x:v>
      </x:c>
      <x:c r="C9" s="106" t="str">
        <x:v>local_client</x:v>
      </x:c>
      <x:c r="D9" s="88" t="str">
        <x:v>local Profile 自动维护的客户账号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34" customHeight="1">
      <x:c r="A10" s="105" t="str">
        <x:v>客户</x:v>
      </x:c>
      <x:c r="B10" s="60" t="str">
        <x:v>密码</x:v>
      </x:c>
      <x:c r="C10" s="106" t="str">
        <x:v>LocalClient-2026!</x:v>
      </x:c>
      <x:c r="D10" s="88" t="str">
        <x:v>仅本地测试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34" customHeight="1">
      <x:c r="A11" s="105" t="str">
        <x:v>新客户账号</x:v>
      </x:c>
      <x:c r="B11" s="60" t="str">
        <x:v>用户名</x:v>
      </x:c>
      <x:c r="C11" s="106" t="str">
        <x:v>manual_client_20261012</x:v>
      </x:c>
      <x:c r="D11" s="88" t="str">
        <x:v>测试后台发放客户账号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4" customHeight="1">
      <x:c r="A12" s="105" t="str">
        <x:v>新客户账号</x:v>
      </x:c>
      <x:c r="B12" s="60" t="str">
        <x:v>初始密码</x:v>
      </x:c>
      <x:c r="C12" s="106" t="str">
        <x:v>ManualClient-2026!</x:v>
      </x:c>
      <x:c r="D12" s="88" t="str">
        <x:v>至少 8 位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34" customHeight="1">
      <x:c r="A13" s="105" t="str">
        <x:v>新客户账号</x:v>
      </x:c>
      <x:c r="B13" s="60" t="str">
        <x:v>重置密码</x:v>
      </x:c>
      <x:c r="C13" s="106" t="str">
        <x:v>ManualClient-2026-New!</x:v>
      </x:c>
      <x:c r="D13" s="88" t="str">
        <x:v>验证旧密码失效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34" customHeight="1">
      <x:c r="A14" s="105" t="str">
        <x:v>后台成员</x:v>
      </x:c>
      <x:c r="B14" s="60" t="str">
        <x:v>用户名</x:v>
      </x:c>
      <x:c r="C14" s="106" t="str">
        <x:v>qa_operator_20261012</x:v>
      </x:c>
      <x:c r="D14" s="88" t="str">
        <x:v>测试团队与权限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34" customHeight="1">
      <x:c r="A15" s="105" t="str">
        <x:v>后台成员</x:v>
      </x:c>
      <x:c r="B15" s="60" t="str">
        <x:v>初始密码</x:v>
      </x:c>
      <x:c r="C15" s="106" t="str">
        <x:v>QaOperator-2026!</x:v>
      </x:c>
      <x:c r="D15" s="88" t="str">
        <x:v>管理员密码至少 12 位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34" customHeight="1">
      <x:c r="A16" s="105" t="str">
        <x:v>企业</x:v>
      </x:c>
      <x:c r="B16" s="60" t="str">
        <x:v>企业名称</x:v>
      </x:c>
      <x:c r="C16" s="106" t="str">
        <x:v>手工测试企业20261012</x:v>
      </x:c>
      <x:c r="D16" s="88" t="str">
        <x:v>测试新增/编辑/删除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34" customHeight="1">
      <x:c r="A17" s="105" t="str">
        <x:v>企业</x:v>
      </x:c>
      <x:c r="B17" s="60" t="str">
        <x:v>统一社会信用代码</x:v>
      </x:c>
      <x:c r="C17" s="106" t="str">
        <x:v>91430100TEST202610</x:v>
      </x:c>
      <x:c r="D17" s="88" t="str">
        <x:v>纯合成标识，不对应真实企业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34" customHeight="1">
      <x:c r="A18" s="105" t="str">
        <x:v>企业</x:v>
      </x:c>
      <x:c r="B18" s="60" t="str">
        <x:v>联系人</x:v>
      </x:c>
      <x:c r="C18" s="106" t="str">
        <x:v>测试联系人A</x:v>
      </x:c>
      <x:c r="D18" s="88" t="str">
        <x:v>禁止填写真实联系人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34" customHeight="1">
      <x:c r="A19" s="105" t="str">
        <x:v>企业</x:v>
      </x:c>
      <x:c r="B19" s="60" t="str">
        <x:v>联系电话</x:v>
      </x:c>
      <x:c r="C19" s="106" t="str">
        <x:v>13800000000</x:v>
      </x:c>
      <x:c r="D19" s="88" t="str">
        <x:v>公共测试号段示例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34" customHeight="1">
      <x:c r="A20" s="105" t="str">
        <x:v>企业</x:v>
      </x:c>
      <x:c r="B20" s="60" t="str">
        <x:v>邮箱</x:v>
      </x:c>
      <x:c r="C20" s="106" t="str">
        <x:v>manual-test@example.invalid</x:v>
      </x:c>
      <x:c r="D20" s="88" t="str">
        <x:v>.invalid 域名不会投递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34" customHeight="1">
      <x:c r="A21" s="105" t="str">
        <x:v>企业</x:v>
      </x:c>
      <x:c r="B21" s="60" t="str">
        <x:v>注册地址</x:v>
      </x:c>
      <x:c r="C21" s="106" t="str">
        <x:v>湖南省衡阳市测试路 100 号</x:v>
      </x:c>
      <x:c r="D21" s="88" t="str">
        <x:v>合成地址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34" customHeight="1">
      <x:c r="A22" s="105" t="str">
        <x:v>企业</x:v>
      </x:c>
      <x:c r="B22" s="60" t="str">
        <x:v>法人</x:v>
      </x:c>
      <x:c r="C22" s="106" t="str">
        <x:v>测试法人</x:v>
      </x:c>
      <x:c r="D22" s="88" t="str">
        <x:v>合成姓名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34" customHeight="1">
      <x:c r="A23" s="105" t="str">
        <x:v>开票</x:v>
      </x:c>
      <x:c r="B23" s="60" t="str">
        <x:v>纳税人识别号</x:v>
      </x:c>
      <x:c r="C23" s="106" t="str">
        <x:v>91430100TEST202610</x:v>
      </x:c>
      <x:c r="D23" s="88" t="str">
        <x:v>与合成企业保持一致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34" customHeight="1">
      <x:c r="A24" s="105" t="str">
        <x:v>开票</x:v>
      </x:c>
      <x:c r="B24" s="60" t="str">
        <x:v>开户行</x:v>
      </x:c>
      <x:c r="C24" s="106" t="str">
        <x:v>测试银行衡阳分行</x:v>
      </x:c>
      <x:c r="D24" s="88" t="str">
        <x:v>不得填写真实银行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34" customHeight="1">
      <x:c r="A25" s="105" t="str">
        <x:v>开票</x:v>
      </x:c>
      <x:c r="B25" s="60" t="str">
        <x:v>基本户账号</x:v>
      </x:c>
      <x:c r="C25" s="106" t="str">
        <x:v>TESTACCOUNT20261012</x:v>
      </x:c>
      <x:c r="D25" s="88" t="str">
        <x:v>纯合成标识，不对应任何真实银行账号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34" customHeight="1">
      <x:c r="A26" s="105" t="str">
        <x:v>品类匹配</x:v>
      </x:c>
      <x:c r="B26" s="60" t="str">
        <x:v>经营范围</x:v>
      </x:c>
      <x:c r="C26" s="106" t="str">
        <x:v>软件开发；信息技术咨询；电子产品销售</x:v>
      </x:c>
      <x:c r="D26" s="88" t="str">
        <x:v>应命中软件/电子相关基础规则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34" customHeight="1">
      <x:c r="A27" s="105" t="str">
        <x:v>品类匹配</x:v>
      </x:c>
      <x:c r="B27" s="60" t="str">
        <x:v>零命中文本</x:v>
      </x:c>
      <x:c r="C27" s="106" t="str">
        <x:v>仅作手工测试且不包含规则关键词</x:v>
      </x:c>
      <x:c r="D27" s="88" t="str">
        <x:v>应返回空推荐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34" customHeight="1">
      <x:c r="A28" s="105" t="str">
        <x:v>附件</x:v>
      </x:c>
      <x:c r="B28" s="60" t="str">
        <x:v>允许文件</x:v>
      </x:c>
      <x:c r="C28" s="106" t="str">
        <x:v>test-license.png / sample.pdf</x:v>
      </x:c>
      <x:c r="D28" s="88" t="str">
        <x:v>小于 100MB、无真实个人信息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34" customHeight="1">
      <x:c r="A29" s="105" t="str">
        <x:v>附件</x:v>
      </x:c>
      <x:c r="B29" s="60" t="str">
        <x:v>异常文件</x:v>
      </x:c>
      <x:c r="C29" s="106" t="str">
        <x:v>oversize.bin / test.exe</x:v>
      </x:c>
      <x:c r="D29" s="88" t="str">
        <x:v>验证大小和格式限制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34" customHeight="1">
      <x:c r="A30" s="105" t="str">
        <x:v>环境</x:v>
      </x:c>
      <x:c r="B30" s="60" t="str">
        <x:v>后台地址</x:v>
      </x:c>
      <x:c r="C30" s="106" t="str">
        <x:v>http://127.0.0.1:5174</x:v>
      </x:c>
      <x:c r="D30" s="88" t="str">
        <x:v>管理后台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34" customHeight="1">
      <x:c r="A31" s="105" t="str">
        <x:v>环境</x:v>
      </x:c>
      <x:c r="B31" s="60" t="str">
        <x:v>小程序 H5</x:v>
      </x:c>
      <x:c r="C31" s="106" t="str">
        <x:v>http://127.0.0.1:5175</x:v>
      </x:c>
      <x:c r="D31" s="88" t="str">
        <x:v>浏览器联调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34" customHeight="1">
      <x:c r="A32" s="105" t="str">
        <x:v>环境</x:v>
      </x:c>
      <x:c r="B32" s="60" t="str">
        <x:v>后端</x:v>
      </x:c>
      <x:c r="C32" s="106" t="str">
        <x:v>http://127.0.0.1:8080</x:v>
      </x:c>
      <x:c r="D32" s="88" t="str">
        <x:v>API/Health/Swagger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34" customHeight="1">
      <x:c r="A33" s="107" t="str">
        <x:v>环境</x:v>
      </x:c>
      <x:c r="B33" s="89" t="str">
        <x:v>微信项目目录</x:v>
      </x:c>
      <x:c r="C33" s="108" t="str">
        <x:v>apps/client-uni/dist/dev/mp-weixin</x:v>
      </x:c>
      <x:c r="D33" s="90" t="str">
        <x:v>导入微信开发者工具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98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98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98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98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98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98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98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98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98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98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98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98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98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98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98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98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98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98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98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98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98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98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98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98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98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98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98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98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98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98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98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98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98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98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98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98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98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98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98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98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98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98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98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98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98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98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98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98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98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98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98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98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98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98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98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98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98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98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98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98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98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98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98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98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98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98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98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98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98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98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98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98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98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98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98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98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98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98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98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98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98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98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98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98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98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98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98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98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98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98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98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98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98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98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98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98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98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98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98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98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98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98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98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98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98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98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98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98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98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98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98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98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98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98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98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98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98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98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98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98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98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98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98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98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98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98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98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98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98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98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98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98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98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98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98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98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98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98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98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98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98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98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98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98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98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98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98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98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98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98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98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98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98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98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98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98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98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98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98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98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98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98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98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98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98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98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98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D2"/>
    <x:mergeCell ref="A4:D4"/>
  </x:mergeCells>
  <x:pageMargins left="0.7" right="0.7" top="0.75" bottom="0.75" header="0.3" footer="0.3"/>
  <x:tableParts count="1">
    <x:tablePart xmlns:r="http://schemas.openxmlformats.org/officeDocument/2006/relationships" r:id="R681c825c97624a50"/>
  </x:tableParts>
</x:worksheet>
</file>

<file path=xl/worksheets/sheet4.xml><?xml version="1.0" encoding="utf-8"?>
<x:worksheet xmlns:x="http://schemas.openxmlformats.org/spreadsheetml/2006/main">
  <x:sheetPr>
    <x:tabColor rgb="FFA76D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2" hidden="0" customWidth="1"/>
    <x:col min="4" max="4" width="14" hidden="0" customWidth="1"/>
    <x:col min="5" max="5" width="18" hidden="0" customWidth="1"/>
    <x:col min="6" max="6" width="28" hidden="0" customWidth="1"/>
    <x:col min="7" max="7" width="12" hidden="0" customWidth="1"/>
    <x:col min="8" max="8" width="10" hidden="0" customWidth="1"/>
    <x:col min="9" max="9" width="20" hidden="0" customWidth="1"/>
    <x:col min="10" max="10" width="48" hidden="0" customWidth="1"/>
    <x:col min="11" max="11" width="36" hidden="0" customWidth="1"/>
    <x:col min="12" max="12" width="36" hidden="0" customWidth="1"/>
    <x:col min="13" max="13" width="30" hidden="0" customWidth="1"/>
    <x:col min="14" max="14" width="12" hidden="0" customWidth="1"/>
    <x:col min="15" max="15" width="14" hidden="0" customWidth="1"/>
    <x:col min="16" max="16" width="12" hidden="0" customWidth="1"/>
    <x:col min="17" max="17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缺陷记录模板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76" t="str">
        <x:v>一个问题一行。复现步骤必须可重复；截图/日志写本地路径或 requestId，禁止粘贴明文密码、Token 或客户敏感信息。</x:v>
      </x:c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111" t="str">
        <x:v>缺陷ID</x:v>
      </x:c>
      <x:c r="B6" s="112" t="str">
        <x:v>发现日期</x:v>
      </x:c>
      <x:c r="C6" s="112" t="str">
        <x:v>报告人</x:v>
      </x:c>
      <x:c r="D6" s="112" t="str">
        <x:v>关联用例</x:v>
      </x:c>
      <x:c r="E6" s="112" t="str">
        <x:v>模块</x:v>
      </x:c>
      <x:c r="F6" s="112" t="str">
        <x:v>标题</x:v>
      </x:c>
      <x:c r="G6" s="112" t="str">
        <x:v>严重级别</x:v>
      </x:c>
      <x:c r="H6" s="112" t="str">
        <x:v>优先级</x:v>
      </x:c>
      <x:c r="I6" s="112" t="str">
        <x:v>环境</x:v>
      </x:c>
      <x:c r="J6" s="112" t="str">
        <x:v>复现步骤</x:v>
      </x:c>
      <x:c r="K6" s="112" t="str">
        <x:v>预期结果</x:v>
      </x:c>
      <x:c r="L6" s="112" t="str">
        <x:v>实际结果</x:v>
      </x:c>
      <x:c r="M6" s="112" t="str">
        <x:v>截图/日志/requestId</x:v>
      </x:c>
      <x:c r="N6" s="112" t="str">
        <x:v>状态</x:v>
      </x:c>
      <x:c r="O6" s="112" t="str">
        <x:v>负责人</x:v>
      </x:c>
      <x:c r="P6" s="112" t="str">
        <x:v>回归结果</x:v>
      </x:c>
      <x:c r="Q6" s="113" t="str">
        <x:v>备注</x:v>
      </x:c>
    </x:row>
    <x:row r="7" ht="58" customHeight="1">
      <x:c r="A7" s="83" t="str">
        <x:v>BUG-001</x:v>
      </x:c>
      <x:c r="B7" s="110" t="str"/>
      <x:c r="C7" s="39" t="str"/>
      <x:c r="D7" s="52" t="str"/>
      <x:c r="E7" s="52" t="str"/>
      <x:c r="F7" s="52" t="str"/>
      <x:c r="G7" s="52" t="str"/>
      <x:c r="H7" s="52" t="str"/>
      <x:c r="I7" s="52" t="str"/>
      <x:c r="J7" s="52" t="str"/>
      <x:c r="K7" s="52" t="str"/>
      <x:c r="L7" s="52" t="str"/>
      <x:c r="M7" s="52" t="str"/>
      <x:c r="N7" s="52" t="str">
        <x:v>待确认</x:v>
      </x:c>
      <x:c r="O7" s="52" t="str"/>
      <x:c r="P7" s="52" t="str">
        <x:v>未回归</x:v>
      </x:c>
      <x:c r="Q7" s="91" t="str"/>
    </x:row>
    <x:row r="8" ht="58" customHeight="1">
      <x:c r="A8" s="83" t="str">
        <x:v>BUG-002</x:v>
      </x:c>
      <x:c r="B8" s="110" t="str"/>
      <x:c r="C8" s="39" t="str"/>
      <x:c r="D8" s="52" t="str"/>
      <x:c r="E8" s="52" t="str"/>
      <x:c r="F8" s="52" t="str"/>
      <x:c r="G8" s="52" t="str"/>
      <x:c r="H8" s="52" t="str"/>
      <x:c r="I8" s="52" t="str"/>
      <x:c r="J8" s="52" t="str"/>
      <x:c r="K8" s="52" t="str"/>
      <x:c r="L8" s="52" t="str"/>
      <x:c r="M8" s="52" t="str"/>
      <x:c r="N8" s="52" t="str">
        <x:v>待确认</x:v>
      </x:c>
      <x:c r="O8" s="52" t="str"/>
      <x:c r="P8" s="52" t="str">
        <x:v>未回归</x:v>
      </x:c>
      <x:c r="Q8" s="91" t="str"/>
    </x:row>
    <x:row r="9" ht="58" customHeight="1">
      <x:c r="A9" s="83" t="str">
        <x:v>BUG-003</x:v>
      </x:c>
      <x:c r="B9" s="110" t="str"/>
      <x:c r="C9" s="39" t="str"/>
      <x:c r="D9" s="52" t="str"/>
      <x:c r="E9" s="52" t="str"/>
      <x:c r="F9" s="52" t="str"/>
      <x:c r="G9" s="52" t="str"/>
      <x:c r="H9" s="52" t="str"/>
      <x:c r="I9" s="52" t="str"/>
      <x:c r="J9" s="52" t="str"/>
      <x:c r="K9" s="52" t="str"/>
      <x:c r="L9" s="52" t="str"/>
      <x:c r="M9" s="52" t="str"/>
      <x:c r="N9" s="52" t="str">
        <x:v>待确认</x:v>
      </x:c>
      <x:c r="O9" s="52" t="str"/>
      <x:c r="P9" s="52" t="str">
        <x:v>未回归</x:v>
      </x:c>
      <x:c r="Q9" s="91" t="str"/>
    </x:row>
    <x:row r="10" ht="58" customHeight="1">
      <x:c r="A10" s="83" t="str">
        <x:v>BUG-004</x:v>
      </x:c>
      <x:c r="B10" s="110" t="str"/>
      <x:c r="C10" s="39" t="str"/>
      <x:c r="D10" s="52" t="str"/>
      <x:c r="E10" s="52" t="str"/>
      <x:c r="F10" s="52" t="str"/>
      <x:c r="G10" s="52" t="str"/>
      <x:c r="H10" s="52" t="str"/>
      <x:c r="I10" s="52" t="str"/>
      <x:c r="J10" s="52" t="str"/>
      <x:c r="K10" s="52" t="str"/>
      <x:c r="L10" s="52" t="str"/>
      <x:c r="M10" s="52" t="str"/>
      <x:c r="N10" s="52" t="str">
        <x:v>待确认</x:v>
      </x:c>
      <x:c r="O10" s="52" t="str"/>
      <x:c r="P10" s="52" t="str">
        <x:v>未回归</x:v>
      </x:c>
      <x:c r="Q10" s="91" t="str"/>
    </x:row>
    <x:row r="11" ht="58" customHeight="1">
      <x:c r="A11" s="83" t="str">
        <x:v>BUG-005</x:v>
      </x:c>
      <x:c r="B11" s="110" t="str"/>
      <x:c r="C11" s="39" t="str"/>
      <x:c r="D11" s="52" t="str"/>
      <x:c r="E11" s="52" t="str"/>
      <x:c r="F11" s="52" t="str"/>
      <x:c r="G11" s="52" t="str"/>
      <x:c r="H11" s="52" t="str"/>
      <x:c r="I11" s="52" t="str"/>
      <x:c r="J11" s="52" t="str"/>
      <x:c r="K11" s="52" t="str"/>
      <x:c r="L11" s="52" t="str"/>
      <x:c r="M11" s="52" t="str"/>
      <x:c r="N11" s="52" t="str">
        <x:v>待确认</x:v>
      </x:c>
      <x:c r="O11" s="52" t="str"/>
      <x:c r="P11" s="52" t="str">
        <x:v>未回归</x:v>
      </x:c>
      <x:c r="Q11" s="91" t="str"/>
    </x:row>
    <x:row r="12" ht="58" customHeight="1">
      <x:c r="A12" s="83" t="str">
        <x:v>BUG-006</x:v>
      </x:c>
      <x:c r="B12" s="110" t="str"/>
      <x:c r="C12" s="39" t="str"/>
      <x:c r="D12" s="52" t="str"/>
      <x:c r="E12" s="52" t="str"/>
      <x:c r="F12" s="52" t="str"/>
      <x:c r="G12" s="52" t="str"/>
      <x:c r="H12" s="52" t="str"/>
      <x:c r="I12" s="52" t="str"/>
      <x:c r="J12" s="52" t="str"/>
      <x:c r="K12" s="52" t="str"/>
      <x:c r="L12" s="52" t="str"/>
      <x:c r="M12" s="52" t="str"/>
      <x:c r="N12" s="52" t="str">
        <x:v>待确认</x:v>
      </x:c>
      <x:c r="O12" s="52" t="str"/>
      <x:c r="P12" s="52" t="str">
        <x:v>未回归</x:v>
      </x:c>
      <x:c r="Q12" s="91" t="str"/>
    </x:row>
    <x:row r="13" ht="58" customHeight="1">
      <x:c r="A13" s="83" t="str">
        <x:v>BUG-007</x:v>
      </x:c>
      <x:c r="B13" s="110" t="str"/>
      <x:c r="C13" s="39" t="str"/>
      <x:c r="D13" s="52" t="str"/>
      <x:c r="E13" s="52" t="str"/>
      <x:c r="F13" s="52" t="str"/>
      <x:c r="G13" s="52" t="str"/>
      <x:c r="H13" s="52" t="str"/>
      <x:c r="I13" s="52" t="str"/>
      <x:c r="J13" s="52" t="str"/>
      <x:c r="K13" s="52" t="str"/>
      <x:c r="L13" s="52" t="str"/>
      <x:c r="M13" s="52" t="str"/>
      <x:c r="N13" s="52" t="str">
        <x:v>待确认</x:v>
      </x:c>
      <x:c r="O13" s="52" t="str"/>
      <x:c r="P13" s="52" t="str">
        <x:v>未回归</x:v>
      </x:c>
      <x:c r="Q13" s="91" t="str"/>
    </x:row>
    <x:row r="14" ht="58" customHeight="1">
      <x:c r="A14" s="83" t="str">
        <x:v>BUG-008</x:v>
      </x:c>
      <x:c r="B14" s="110" t="str"/>
      <x:c r="C14" s="39" t="str"/>
      <x:c r="D14" s="52" t="str"/>
      <x:c r="E14" s="52" t="str"/>
      <x:c r="F14" s="52" t="str"/>
      <x:c r="G14" s="52" t="str"/>
      <x:c r="H14" s="52" t="str"/>
      <x:c r="I14" s="52" t="str"/>
      <x:c r="J14" s="52" t="str"/>
      <x:c r="K14" s="52" t="str"/>
      <x:c r="L14" s="52" t="str"/>
      <x:c r="M14" s="52" t="str"/>
      <x:c r="N14" s="52" t="str">
        <x:v>待确认</x:v>
      </x:c>
      <x:c r="O14" s="52" t="str"/>
      <x:c r="P14" s="52" t="str">
        <x:v>未回归</x:v>
      </x:c>
      <x:c r="Q14" s="91" t="str"/>
    </x:row>
    <x:row r="15" ht="58" customHeight="1">
      <x:c r="A15" s="83" t="str">
        <x:v>BUG-009</x:v>
      </x:c>
      <x:c r="B15" s="110" t="str"/>
      <x:c r="C15" s="39" t="str"/>
      <x:c r="D15" s="52" t="str"/>
      <x:c r="E15" s="52" t="str"/>
      <x:c r="F15" s="52" t="str"/>
      <x:c r="G15" s="52" t="str"/>
      <x:c r="H15" s="52" t="str"/>
      <x:c r="I15" s="52" t="str"/>
      <x:c r="J15" s="52" t="str"/>
      <x:c r="K15" s="52" t="str"/>
      <x:c r="L15" s="52" t="str"/>
      <x:c r="M15" s="52" t="str"/>
      <x:c r="N15" s="52" t="str">
        <x:v>待确认</x:v>
      </x:c>
      <x:c r="O15" s="52" t="str"/>
      <x:c r="P15" s="52" t="str">
        <x:v>未回归</x:v>
      </x:c>
      <x:c r="Q15" s="91" t="str"/>
    </x:row>
    <x:row r="16" ht="58" customHeight="1">
      <x:c r="A16" s="83" t="str">
        <x:v>BUG-010</x:v>
      </x:c>
      <x:c r="B16" s="110" t="str"/>
      <x:c r="C16" s="39" t="str"/>
      <x:c r="D16" s="52" t="str"/>
      <x:c r="E16" s="52" t="str"/>
      <x:c r="F16" s="52" t="str"/>
      <x:c r="G16" s="52" t="str"/>
      <x:c r="H16" s="52" t="str"/>
      <x:c r="I16" s="52" t="str"/>
      <x:c r="J16" s="52" t="str"/>
      <x:c r="K16" s="52" t="str"/>
      <x:c r="L16" s="52" t="str"/>
      <x:c r="M16" s="52" t="str"/>
      <x:c r="N16" s="52" t="str">
        <x:v>待确认</x:v>
      </x:c>
      <x:c r="O16" s="52" t="str"/>
      <x:c r="P16" s="52" t="str">
        <x:v>未回归</x:v>
      </x:c>
      <x:c r="Q16" s="91" t="str"/>
    </x:row>
    <x:row r="17" ht="58" customHeight="1">
      <x:c r="A17" s="83" t="str">
        <x:v>BUG-011</x:v>
      </x:c>
      <x:c r="B17" s="110" t="str"/>
      <x:c r="C17" s="39" t="str"/>
      <x:c r="D17" s="52" t="str"/>
      <x:c r="E17" s="52" t="str"/>
      <x:c r="F17" s="52" t="str"/>
      <x:c r="G17" s="52" t="str"/>
      <x:c r="H17" s="52" t="str"/>
      <x:c r="I17" s="52" t="str"/>
      <x:c r="J17" s="52" t="str"/>
      <x:c r="K17" s="52" t="str"/>
      <x:c r="L17" s="52" t="str"/>
      <x:c r="M17" s="52" t="str"/>
      <x:c r="N17" s="52" t="str">
        <x:v>待确认</x:v>
      </x:c>
      <x:c r="O17" s="52" t="str"/>
      <x:c r="P17" s="52" t="str">
        <x:v>未回归</x:v>
      </x:c>
      <x:c r="Q17" s="91" t="str"/>
    </x:row>
    <x:row r="18" ht="58" customHeight="1">
      <x:c r="A18" s="83" t="str">
        <x:v>BUG-012</x:v>
      </x:c>
      <x:c r="B18" s="110" t="str"/>
      <x:c r="C18" s="39" t="str"/>
      <x:c r="D18" s="52" t="str"/>
      <x:c r="E18" s="52" t="str"/>
      <x:c r="F18" s="52" t="str"/>
      <x:c r="G18" s="52" t="str"/>
      <x:c r="H18" s="52" t="str"/>
      <x:c r="I18" s="52" t="str"/>
      <x:c r="J18" s="52" t="str"/>
      <x:c r="K18" s="52" t="str"/>
      <x:c r="L18" s="52" t="str"/>
      <x:c r="M18" s="52" t="str"/>
      <x:c r="N18" s="52" t="str">
        <x:v>待确认</x:v>
      </x:c>
      <x:c r="O18" s="52" t="str"/>
      <x:c r="P18" s="52" t="str">
        <x:v>未回归</x:v>
      </x:c>
      <x:c r="Q18" s="91" t="str"/>
    </x:row>
    <x:row r="19" ht="58" customHeight="1">
      <x:c r="A19" s="83" t="str">
        <x:v>BUG-013</x:v>
      </x:c>
      <x:c r="B19" s="110" t="str"/>
      <x:c r="C19" s="39" t="str"/>
      <x:c r="D19" s="52" t="str"/>
      <x:c r="E19" s="52" t="str"/>
      <x:c r="F19" s="52" t="str"/>
      <x:c r="G19" s="52" t="str"/>
      <x:c r="H19" s="52" t="str"/>
      <x:c r="I19" s="52" t="str"/>
      <x:c r="J19" s="52" t="str"/>
      <x:c r="K19" s="52" t="str"/>
      <x:c r="L19" s="52" t="str"/>
      <x:c r="M19" s="52" t="str"/>
      <x:c r="N19" s="52" t="str">
        <x:v>待确认</x:v>
      </x:c>
      <x:c r="O19" s="52" t="str"/>
      <x:c r="P19" s="52" t="str">
        <x:v>未回归</x:v>
      </x:c>
      <x:c r="Q19" s="91" t="str"/>
    </x:row>
    <x:row r="20" ht="58" customHeight="1">
      <x:c r="A20" s="83" t="str">
        <x:v>BUG-014</x:v>
      </x:c>
      <x:c r="B20" s="110" t="str"/>
      <x:c r="C20" s="39" t="str"/>
      <x:c r="D20" s="52" t="str"/>
      <x:c r="E20" s="52" t="str"/>
      <x:c r="F20" s="52" t="str"/>
      <x:c r="G20" s="52" t="str"/>
      <x:c r="H20" s="52" t="str"/>
      <x:c r="I20" s="52" t="str"/>
      <x:c r="J20" s="52" t="str"/>
      <x:c r="K20" s="52" t="str"/>
      <x:c r="L20" s="52" t="str"/>
      <x:c r="M20" s="52" t="str"/>
      <x:c r="N20" s="52" t="str">
        <x:v>待确认</x:v>
      </x:c>
      <x:c r="O20" s="52" t="str"/>
      <x:c r="P20" s="52" t="str">
        <x:v>未回归</x:v>
      </x:c>
      <x:c r="Q20" s="91" t="str"/>
    </x:row>
    <x:row r="21" ht="58" customHeight="1">
      <x:c r="A21" s="83" t="str">
        <x:v>BUG-015</x:v>
      </x:c>
      <x:c r="B21" s="110" t="str"/>
      <x:c r="C21" s="39" t="str"/>
      <x:c r="D21" s="52" t="str"/>
      <x:c r="E21" s="52" t="str"/>
      <x:c r="F21" s="52" t="str"/>
      <x:c r="G21" s="52" t="str"/>
      <x:c r="H21" s="52" t="str"/>
      <x:c r="I21" s="52" t="str"/>
      <x:c r="J21" s="52" t="str"/>
      <x:c r="K21" s="52" t="str"/>
      <x:c r="L21" s="52" t="str"/>
      <x:c r="M21" s="52" t="str"/>
      <x:c r="N21" s="52" t="str">
        <x:v>待确认</x:v>
      </x:c>
      <x:c r="O21" s="52" t="str"/>
      <x:c r="P21" s="52" t="str">
        <x:v>未回归</x:v>
      </x:c>
      <x:c r="Q21" s="91" t="str"/>
    </x:row>
    <x:row r="22" ht="58" customHeight="1">
      <x:c r="A22" s="83" t="str">
        <x:v>BUG-016</x:v>
      </x:c>
      <x:c r="B22" s="110" t="str"/>
      <x:c r="C22" s="39" t="str"/>
      <x:c r="D22" s="52" t="str"/>
      <x:c r="E22" s="52" t="str"/>
      <x:c r="F22" s="52" t="str"/>
      <x:c r="G22" s="52" t="str"/>
      <x:c r="H22" s="52" t="str"/>
      <x:c r="I22" s="52" t="str"/>
      <x:c r="J22" s="52" t="str"/>
      <x:c r="K22" s="52" t="str"/>
      <x:c r="L22" s="52" t="str"/>
      <x:c r="M22" s="52" t="str"/>
      <x:c r="N22" s="52" t="str">
        <x:v>待确认</x:v>
      </x:c>
      <x:c r="O22" s="52" t="str"/>
      <x:c r="P22" s="52" t="str">
        <x:v>未回归</x:v>
      </x:c>
      <x:c r="Q22" s="91" t="str"/>
    </x:row>
    <x:row r="23" ht="58" customHeight="1">
      <x:c r="A23" s="83" t="str">
        <x:v>BUG-017</x:v>
      </x:c>
      <x:c r="B23" s="110" t="str"/>
      <x:c r="C23" s="39" t="str"/>
      <x:c r="D23" s="52" t="str"/>
      <x:c r="E23" s="52" t="str"/>
      <x:c r="F23" s="52" t="str"/>
      <x:c r="G23" s="52" t="str"/>
      <x:c r="H23" s="52" t="str"/>
      <x:c r="I23" s="52" t="str"/>
      <x:c r="J23" s="52" t="str"/>
      <x:c r="K23" s="52" t="str"/>
      <x:c r="L23" s="52" t="str"/>
      <x:c r="M23" s="52" t="str"/>
      <x:c r="N23" s="52" t="str">
        <x:v>待确认</x:v>
      </x:c>
      <x:c r="O23" s="52" t="str"/>
      <x:c r="P23" s="52" t="str">
        <x:v>未回归</x:v>
      </x:c>
      <x:c r="Q23" s="91" t="str"/>
    </x:row>
    <x:row r="24" ht="58" customHeight="1">
      <x:c r="A24" s="83" t="str">
        <x:v>BUG-018</x:v>
      </x:c>
      <x:c r="B24" s="110" t="str"/>
      <x:c r="C24" s="39" t="str"/>
      <x:c r="D24" s="52" t="str"/>
      <x:c r="E24" s="52" t="str"/>
      <x:c r="F24" s="52" t="str"/>
      <x:c r="G24" s="52" t="str"/>
      <x:c r="H24" s="52" t="str"/>
      <x:c r="I24" s="52" t="str"/>
      <x:c r="J24" s="52" t="str"/>
      <x:c r="K24" s="52" t="str"/>
      <x:c r="L24" s="52" t="str"/>
      <x:c r="M24" s="52" t="str"/>
      <x:c r="N24" s="52" t="str">
        <x:v>待确认</x:v>
      </x:c>
      <x:c r="O24" s="52" t="str"/>
      <x:c r="P24" s="52" t="str">
        <x:v>未回归</x:v>
      </x:c>
      <x:c r="Q24" s="91" t="str"/>
    </x:row>
    <x:row r="25" ht="58" customHeight="1">
      <x:c r="A25" s="83" t="str">
        <x:v>BUG-019</x:v>
      </x:c>
      <x:c r="B25" s="110" t="str"/>
      <x:c r="C25" s="39" t="str"/>
      <x:c r="D25" s="52" t="str"/>
      <x:c r="E25" s="52" t="str"/>
      <x:c r="F25" s="52" t="str"/>
      <x:c r="G25" s="52" t="str"/>
      <x:c r="H25" s="52" t="str"/>
      <x:c r="I25" s="52" t="str"/>
      <x:c r="J25" s="52" t="str"/>
      <x:c r="K25" s="52" t="str"/>
      <x:c r="L25" s="52" t="str"/>
      <x:c r="M25" s="52" t="str"/>
      <x:c r="N25" s="52" t="str">
        <x:v>待确认</x:v>
      </x:c>
      <x:c r="O25" s="52" t="str"/>
      <x:c r="P25" s="52" t="str">
        <x:v>未回归</x:v>
      </x:c>
      <x:c r="Q25" s="91" t="str"/>
    </x:row>
    <x:row r="26" ht="58" customHeight="1">
      <x:c r="A26" s="83" t="str">
        <x:v>BUG-020</x:v>
      </x:c>
      <x:c r="B26" s="110" t="str"/>
      <x:c r="C26" s="39" t="str"/>
      <x:c r="D26" s="52" t="str"/>
      <x:c r="E26" s="52" t="str"/>
      <x:c r="F26" s="52" t="str"/>
      <x:c r="G26" s="52" t="str"/>
      <x:c r="H26" s="52" t="str"/>
      <x:c r="I26" s="52" t="str"/>
      <x:c r="J26" s="52" t="str"/>
      <x:c r="K26" s="52" t="str"/>
      <x:c r="L26" s="52" t="str"/>
      <x:c r="M26" s="52" t="str"/>
      <x:c r="N26" s="52" t="str">
        <x:v>待确认</x:v>
      </x:c>
      <x:c r="O26" s="52" t="str"/>
      <x:c r="P26" s="52" t="str">
        <x:v>未回归</x:v>
      </x:c>
      <x:c r="Q26" s="91" t="str"/>
    </x:row>
    <x:row r="27" ht="58" customHeight="1">
      <x:c r="A27" s="83" t="str">
        <x:v>BUG-021</x:v>
      </x:c>
      <x:c r="B27" s="110" t="str"/>
      <x:c r="C27" s="39" t="str"/>
      <x:c r="D27" s="52" t="str"/>
      <x:c r="E27" s="52" t="str"/>
      <x:c r="F27" s="52" t="str"/>
      <x:c r="G27" s="52" t="str"/>
      <x:c r="H27" s="52" t="str"/>
      <x:c r="I27" s="52" t="str"/>
      <x:c r="J27" s="52" t="str"/>
      <x:c r="K27" s="52" t="str"/>
      <x:c r="L27" s="52" t="str"/>
      <x:c r="M27" s="52" t="str"/>
      <x:c r="N27" s="52" t="str">
        <x:v>待确认</x:v>
      </x:c>
      <x:c r="O27" s="52" t="str"/>
      <x:c r="P27" s="52" t="str">
        <x:v>未回归</x:v>
      </x:c>
      <x:c r="Q27" s="91" t="str"/>
    </x:row>
    <x:row r="28" ht="58" customHeight="1">
      <x:c r="A28" s="83" t="str">
        <x:v>BUG-022</x:v>
      </x:c>
      <x:c r="B28" s="110" t="str"/>
      <x:c r="C28" s="39" t="str"/>
      <x:c r="D28" s="52" t="str"/>
      <x:c r="E28" s="52" t="str"/>
      <x:c r="F28" s="52" t="str"/>
      <x:c r="G28" s="52" t="str"/>
      <x:c r="H28" s="52" t="str"/>
      <x:c r="I28" s="52" t="str"/>
      <x:c r="J28" s="52" t="str"/>
      <x:c r="K28" s="52" t="str"/>
      <x:c r="L28" s="52" t="str"/>
      <x:c r="M28" s="52" t="str"/>
      <x:c r="N28" s="52" t="str">
        <x:v>待确认</x:v>
      </x:c>
      <x:c r="O28" s="52" t="str"/>
      <x:c r="P28" s="52" t="str">
        <x:v>未回归</x:v>
      </x:c>
      <x:c r="Q28" s="91" t="str"/>
    </x:row>
    <x:row r="29" ht="58" customHeight="1">
      <x:c r="A29" s="83" t="str">
        <x:v>BUG-023</x:v>
      </x:c>
      <x:c r="B29" s="110" t="str"/>
      <x:c r="C29" s="39" t="str"/>
      <x:c r="D29" s="52" t="str"/>
      <x:c r="E29" s="52" t="str"/>
      <x:c r="F29" s="52" t="str"/>
      <x:c r="G29" s="52" t="str"/>
      <x:c r="H29" s="52" t="str"/>
      <x:c r="I29" s="52" t="str"/>
      <x:c r="J29" s="52" t="str"/>
      <x:c r="K29" s="52" t="str"/>
      <x:c r="L29" s="52" t="str"/>
      <x:c r="M29" s="52" t="str"/>
      <x:c r="N29" s="52" t="str">
        <x:v>待确认</x:v>
      </x:c>
      <x:c r="O29" s="52" t="str"/>
      <x:c r="P29" s="52" t="str">
        <x:v>未回归</x:v>
      </x:c>
      <x:c r="Q29" s="91" t="str"/>
    </x:row>
    <x:row r="30" ht="58" customHeight="1">
      <x:c r="A30" s="83" t="str">
        <x:v>BUG-024</x:v>
      </x:c>
      <x:c r="B30" s="110" t="str"/>
      <x:c r="C30" s="39" t="str"/>
      <x:c r="D30" s="52" t="str"/>
      <x:c r="E30" s="52" t="str"/>
      <x:c r="F30" s="52" t="str"/>
      <x:c r="G30" s="52" t="str"/>
      <x:c r="H30" s="52" t="str"/>
      <x:c r="I30" s="52" t="str"/>
      <x:c r="J30" s="52" t="str"/>
      <x:c r="K30" s="52" t="str"/>
      <x:c r="L30" s="52" t="str"/>
      <x:c r="M30" s="52" t="str"/>
      <x:c r="N30" s="52" t="str">
        <x:v>待确认</x:v>
      </x:c>
      <x:c r="O30" s="52" t="str"/>
      <x:c r="P30" s="52" t="str">
        <x:v>未回归</x:v>
      </x:c>
      <x:c r="Q30" s="91" t="str"/>
    </x:row>
    <x:row r="31" ht="58" customHeight="1">
      <x:c r="A31" s="83" t="str">
        <x:v>BUG-025</x:v>
      </x:c>
      <x:c r="B31" s="110" t="str"/>
      <x:c r="C31" s="39" t="str"/>
      <x:c r="D31" s="52" t="str"/>
      <x:c r="E31" s="52" t="str"/>
      <x:c r="F31" s="52" t="str"/>
      <x:c r="G31" s="52" t="str"/>
      <x:c r="H31" s="52" t="str"/>
      <x:c r="I31" s="52" t="str"/>
      <x:c r="J31" s="52" t="str"/>
      <x:c r="K31" s="52" t="str"/>
      <x:c r="L31" s="52" t="str"/>
      <x:c r="M31" s="52" t="str"/>
      <x:c r="N31" s="52" t="str">
        <x:v>待确认</x:v>
      </x:c>
      <x:c r="O31" s="52" t="str"/>
      <x:c r="P31" s="52" t="str">
        <x:v>未回归</x:v>
      </x:c>
      <x:c r="Q31" s="91" t="str"/>
    </x:row>
    <x:row r="32" ht="58" customHeight="1">
      <x:c r="A32" s="83" t="str">
        <x:v>BUG-026</x:v>
      </x:c>
      <x:c r="B32" s="110" t="str"/>
      <x:c r="C32" s="39" t="str"/>
      <x:c r="D32" s="52" t="str"/>
      <x:c r="E32" s="52" t="str"/>
      <x:c r="F32" s="52" t="str"/>
      <x:c r="G32" s="52" t="str"/>
      <x:c r="H32" s="52" t="str"/>
      <x:c r="I32" s="52" t="str"/>
      <x:c r="J32" s="52" t="str"/>
      <x:c r="K32" s="52" t="str"/>
      <x:c r="L32" s="52" t="str"/>
      <x:c r="M32" s="52" t="str"/>
      <x:c r="N32" s="52" t="str">
        <x:v>待确认</x:v>
      </x:c>
      <x:c r="O32" s="52" t="str"/>
      <x:c r="P32" s="52" t="str">
        <x:v>未回归</x:v>
      </x:c>
      <x:c r="Q32" s="91" t="str"/>
    </x:row>
    <x:row r="33" ht="58" customHeight="1">
      <x:c r="A33" s="83" t="str">
        <x:v>BUG-027</x:v>
      </x:c>
      <x:c r="B33" s="110" t="str"/>
      <x:c r="C33" s="39" t="str"/>
      <x:c r="D33" s="52" t="str"/>
      <x:c r="E33" s="52" t="str"/>
      <x:c r="F33" s="52" t="str"/>
      <x:c r="G33" s="52" t="str"/>
      <x:c r="H33" s="52" t="str"/>
      <x:c r="I33" s="52" t="str"/>
      <x:c r="J33" s="52" t="str"/>
      <x:c r="K33" s="52" t="str"/>
      <x:c r="L33" s="52" t="str"/>
      <x:c r="M33" s="52" t="str"/>
      <x:c r="N33" s="52" t="str">
        <x:v>待确认</x:v>
      </x:c>
      <x:c r="O33" s="52" t="str"/>
      <x:c r="P33" s="52" t="str">
        <x:v>未回归</x:v>
      </x:c>
      <x:c r="Q33" s="91" t="str"/>
    </x:row>
    <x:row r="34" ht="58" customHeight="1">
      <x:c r="A34" s="83" t="str">
        <x:v>BUG-028</x:v>
      </x:c>
      <x:c r="B34" s="110" t="str"/>
      <x:c r="C34" s="39" t="str"/>
      <x:c r="D34" s="52" t="str"/>
      <x:c r="E34" s="52" t="str"/>
      <x:c r="F34" s="52" t="str"/>
      <x:c r="G34" s="52" t="str"/>
      <x:c r="H34" s="52" t="str"/>
      <x:c r="I34" s="52" t="str"/>
      <x:c r="J34" s="52" t="str"/>
      <x:c r="K34" s="52" t="str"/>
      <x:c r="L34" s="52" t="str"/>
      <x:c r="M34" s="52" t="str"/>
      <x:c r="N34" s="52" t="str">
        <x:v>待确认</x:v>
      </x:c>
      <x:c r="O34" s="52" t="str"/>
      <x:c r="P34" s="52" t="str">
        <x:v>未回归</x:v>
      </x:c>
      <x:c r="Q34" s="91" t="str"/>
    </x:row>
    <x:row r="35" ht="58" customHeight="1">
      <x:c r="A35" s="83" t="str">
        <x:v>BUG-029</x:v>
      </x:c>
      <x:c r="B35" s="110" t="str"/>
      <x:c r="C35" s="39" t="str"/>
      <x:c r="D35" s="52" t="str"/>
      <x:c r="E35" s="52" t="str"/>
      <x:c r="F35" s="52" t="str"/>
      <x:c r="G35" s="52" t="str"/>
      <x:c r="H35" s="52" t="str"/>
      <x:c r="I35" s="52" t="str"/>
      <x:c r="J35" s="52" t="str"/>
      <x:c r="K35" s="52" t="str"/>
      <x:c r="L35" s="52" t="str"/>
      <x:c r="M35" s="52" t="str"/>
      <x:c r="N35" s="52" t="str">
        <x:v>待确认</x:v>
      </x:c>
      <x:c r="O35" s="52" t="str"/>
      <x:c r="P35" s="52" t="str">
        <x:v>未回归</x:v>
      </x:c>
      <x:c r="Q35" s="91" t="str"/>
    </x:row>
    <x:row r="36" ht="58" customHeight="1">
      <x:c r="A36" s="83" t="str">
        <x:v>BUG-030</x:v>
      </x:c>
      <x:c r="B36" s="110" t="str"/>
      <x:c r="C36" s="39" t="str"/>
      <x:c r="D36" s="52" t="str"/>
      <x:c r="E36" s="52" t="str"/>
      <x:c r="F36" s="52" t="str"/>
      <x:c r="G36" s="52" t="str"/>
      <x:c r="H36" s="52" t="str"/>
      <x:c r="I36" s="52" t="str"/>
      <x:c r="J36" s="52" t="str"/>
      <x:c r="K36" s="52" t="str"/>
      <x:c r="L36" s="52" t="str"/>
      <x:c r="M36" s="52" t="str"/>
      <x:c r="N36" s="52" t="str">
        <x:v>待确认</x:v>
      </x:c>
      <x:c r="O36" s="52" t="str"/>
      <x:c r="P36" s="52" t="str">
        <x:v>未回归</x:v>
      </x:c>
      <x:c r="Q36" s="91" t="str"/>
    </x:row>
    <x:row r="37" ht="58" customHeight="1">
      <x:c r="A37" s="83" t="str">
        <x:v>BUG-031</x:v>
      </x:c>
      <x:c r="B37" s="110" t="str"/>
      <x:c r="C37" s="39" t="str"/>
      <x:c r="D37" s="52" t="str"/>
      <x:c r="E37" s="52" t="str"/>
      <x:c r="F37" s="52" t="str"/>
      <x:c r="G37" s="52" t="str"/>
      <x:c r="H37" s="52" t="str"/>
      <x:c r="I37" s="52" t="str"/>
      <x:c r="J37" s="52" t="str"/>
      <x:c r="K37" s="52" t="str"/>
      <x:c r="L37" s="52" t="str"/>
      <x:c r="M37" s="52" t="str"/>
      <x:c r="N37" s="52" t="str">
        <x:v>待确认</x:v>
      </x:c>
      <x:c r="O37" s="52" t="str"/>
      <x:c r="P37" s="52" t="str">
        <x:v>未回归</x:v>
      </x:c>
      <x:c r="Q37" s="91" t="str"/>
    </x:row>
    <x:row r="38" ht="58" customHeight="1">
      <x:c r="A38" s="83" t="str">
        <x:v>BUG-032</x:v>
      </x:c>
      <x:c r="B38" s="110" t="str"/>
      <x:c r="C38" s="39" t="str"/>
      <x:c r="D38" s="52" t="str"/>
      <x:c r="E38" s="52" t="str"/>
      <x:c r="F38" s="52" t="str"/>
      <x:c r="G38" s="52" t="str"/>
      <x:c r="H38" s="52" t="str"/>
      <x:c r="I38" s="52" t="str"/>
      <x:c r="J38" s="52" t="str"/>
      <x:c r="K38" s="52" t="str"/>
      <x:c r="L38" s="52" t="str"/>
      <x:c r="M38" s="52" t="str"/>
      <x:c r="N38" s="52" t="str">
        <x:v>待确认</x:v>
      </x:c>
      <x:c r="O38" s="52" t="str"/>
      <x:c r="P38" s="52" t="str">
        <x:v>未回归</x:v>
      </x:c>
      <x:c r="Q38" s="91" t="str"/>
    </x:row>
    <x:row r="39" ht="58" customHeight="1">
      <x:c r="A39" s="83" t="str">
        <x:v>BUG-033</x:v>
      </x:c>
      <x:c r="B39" s="110" t="str"/>
      <x:c r="C39" s="39" t="str"/>
      <x:c r="D39" s="52" t="str"/>
      <x:c r="E39" s="52" t="str"/>
      <x:c r="F39" s="52" t="str"/>
      <x:c r="G39" s="52" t="str"/>
      <x:c r="H39" s="52" t="str"/>
      <x:c r="I39" s="52" t="str"/>
      <x:c r="J39" s="52" t="str"/>
      <x:c r="K39" s="52" t="str"/>
      <x:c r="L39" s="52" t="str"/>
      <x:c r="M39" s="52" t="str"/>
      <x:c r="N39" s="52" t="str">
        <x:v>待确认</x:v>
      </x:c>
      <x:c r="O39" s="52" t="str"/>
      <x:c r="P39" s="52" t="str">
        <x:v>未回归</x:v>
      </x:c>
      <x:c r="Q39" s="91" t="str"/>
    </x:row>
    <x:row r="40" ht="58" customHeight="1">
      <x:c r="A40" s="83" t="str">
        <x:v>BUG-034</x:v>
      </x:c>
      <x:c r="B40" s="110" t="str"/>
      <x:c r="C40" s="39" t="str"/>
      <x:c r="D40" s="52" t="str"/>
      <x:c r="E40" s="52" t="str"/>
      <x:c r="F40" s="52" t="str"/>
      <x:c r="G40" s="52" t="str"/>
      <x:c r="H40" s="52" t="str"/>
      <x:c r="I40" s="52" t="str"/>
      <x:c r="J40" s="52" t="str"/>
      <x:c r="K40" s="52" t="str"/>
      <x:c r="L40" s="52" t="str"/>
      <x:c r="M40" s="52" t="str"/>
      <x:c r="N40" s="52" t="str">
        <x:v>待确认</x:v>
      </x:c>
      <x:c r="O40" s="52" t="str"/>
      <x:c r="P40" s="52" t="str">
        <x:v>未回归</x:v>
      </x:c>
      <x:c r="Q40" s="91" t="str"/>
    </x:row>
    <x:row r="41" ht="58" customHeight="1">
      <x:c r="A41" s="83" t="str">
        <x:v>BUG-035</x:v>
      </x:c>
      <x:c r="B41" s="110" t="str"/>
      <x:c r="C41" s="39" t="str"/>
      <x:c r="D41" s="52" t="str"/>
      <x:c r="E41" s="52" t="str"/>
      <x:c r="F41" s="52" t="str"/>
      <x:c r="G41" s="52" t="str"/>
      <x:c r="H41" s="52" t="str"/>
      <x:c r="I41" s="52" t="str"/>
      <x:c r="J41" s="52" t="str"/>
      <x:c r="K41" s="52" t="str"/>
      <x:c r="L41" s="52" t="str"/>
      <x:c r="M41" s="52" t="str"/>
      <x:c r="N41" s="52" t="str">
        <x:v>待确认</x:v>
      </x:c>
      <x:c r="O41" s="52" t="str"/>
      <x:c r="P41" s="52" t="str">
        <x:v>未回归</x:v>
      </x:c>
      <x:c r="Q41" s="91" t="str"/>
    </x:row>
    <x:row r="42" ht="58" customHeight="1">
      <x:c r="A42" s="83" t="str">
        <x:v>BUG-036</x:v>
      </x:c>
      <x:c r="B42" s="110" t="str"/>
      <x:c r="C42" s="39" t="str"/>
      <x:c r="D42" s="52" t="str"/>
      <x:c r="E42" s="52" t="str"/>
      <x:c r="F42" s="52" t="str"/>
      <x:c r="G42" s="52" t="str"/>
      <x:c r="H42" s="52" t="str"/>
      <x:c r="I42" s="52" t="str"/>
      <x:c r="J42" s="52" t="str"/>
      <x:c r="K42" s="52" t="str"/>
      <x:c r="L42" s="52" t="str"/>
      <x:c r="M42" s="52" t="str"/>
      <x:c r="N42" s="52" t="str">
        <x:v>待确认</x:v>
      </x:c>
      <x:c r="O42" s="52" t="str"/>
      <x:c r="P42" s="52" t="str">
        <x:v>未回归</x:v>
      </x:c>
      <x:c r="Q42" s="91" t="str"/>
    </x:row>
    <x:row r="43" ht="58" customHeight="1">
      <x:c r="A43" s="83" t="str">
        <x:v>BUG-037</x:v>
      </x:c>
      <x:c r="B43" s="110" t="str"/>
      <x:c r="C43" s="39" t="str"/>
      <x:c r="D43" s="52" t="str"/>
      <x:c r="E43" s="52" t="str"/>
      <x:c r="F43" s="52" t="str"/>
      <x:c r="G43" s="52" t="str"/>
      <x:c r="H43" s="52" t="str"/>
      <x:c r="I43" s="52" t="str"/>
      <x:c r="J43" s="52" t="str"/>
      <x:c r="K43" s="52" t="str"/>
      <x:c r="L43" s="52" t="str"/>
      <x:c r="M43" s="52" t="str"/>
      <x:c r="N43" s="52" t="str">
        <x:v>待确认</x:v>
      </x:c>
      <x:c r="O43" s="52" t="str"/>
      <x:c r="P43" s="52" t="str">
        <x:v>未回归</x:v>
      </x:c>
      <x:c r="Q43" s="91" t="str"/>
    </x:row>
    <x:row r="44" ht="58" customHeight="1">
      <x:c r="A44" s="83" t="str">
        <x:v>BUG-038</x:v>
      </x:c>
      <x:c r="B44" s="110" t="str"/>
      <x:c r="C44" s="39" t="str"/>
      <x:c r="D44" s="52" t="str"/>
      <x:c r="E44" s="52" t="str"/>
      <x:c r="F44" s="52" t="str"/>
      <x:c r="G44" s="52" t="str"/>
      <x:c r="H44" s="52" t="str"/>
      <x:c r="I44" s="52" t="str"/>
      <x:c r="J44" s="52" t="str"/>
      <x:c r="K44" s="52" t="str"/>
      <x:c r="L44" s="52" t="str"/>
      <x:c r="M44" s="52" t="str"/>
      <x:c r="N44" s="52" t="str">
        <x:v>待确认</x:v>
      </x:c>
      <x:c r="O44" s="52" t="str"/>
      <x:c r="P44" s="52" t="str">
        <x:v>未回归</x:v>
      </x:c>
      <x:c r="Q44" s="91" t="str"/>
    </x:row>
    <x:row r="45" ht="58" customHeight="1">
      <x:c r="A45" s="83" t="str">
        <x:v>BUG-039</x:v>
      </x:c>
      <x:c r="B45" s="110" t="str"/>
      <x:c r="C45" s="39" t="str"/>
      <x:c r="D45" s="52" t="str"/>
      <x:c r="E45" s="52" t="str"/>
      <x:c r="F45" s="52" t="str"/>
      <x:c r="G45" s="52" t="str"/>
      <x:c r="H45" s="52" t="str"/>
      <x:c r="I45" s="52" t="str"/>
      <x:c r="J45" s="52" t="str"/>
      <x:c r="K45" s="52" t="str"/>
      <x:c r="L45" s="52" t="str"/>
      <x:c r="M45" s="52" t="str"/>
      <x:c r="N45" s="52" t="str">
        <x:v>待确认</x:v>
      </x:c>
      <x:c r="O45" s="52" t="str"/>
      <x:c r="P45" s="52" t="str">
        <x:v>未回归</x:v>
      </x:c>
      <x:c r="Q45" s="91" t="str"/>
    </x:row>
    <x:row r="46" ht="58" customHeight="1">
      <x:c r="A46" s="85" t="str">
        <x:v>BUG-040</x:v>
      </x:c>
      <x:c r="B46" s="115" t="str"/>
      <x:c r="C46" s="116" t="str"/>
      <x:c r="D46" s="92" t="str"/>
      <x:c r="E46" s="92" t="str"/>
      <x:c r="F46" s="92" t="str"/>
      <x:c r="G46" s="92" t="str"/>
      <x:c r="H46" s="92" t="str"/>
      <x:c r="I46" s="92" t="str"/>
      <x:c r="J46" s="92" t="str"/>
      <x:c r="K46" s="92" t="str"/>
      <x:c r="L46" s="92" t="str"/>
      <x:c r="M46" s="92" t="str"/>
      <x:c r="N46" s="92" t="str">
        <x:v>待确认</x:v>
      </x:c>
      <x:c r="O46" s="92" t="str"/>
      <x:c r="P46" s="92" t="str">
        <x:v>未回归</x:v>
      </x:c>
      <x:c r="Q46" s="93" t="str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Q2"/>
    <x:mergeCell ref="A4:Q4"/>
  </x:mergeCells>
  <x:conditionalFormatting sqref="N7:N46">
    <x:cfRule type="containsText" dxfId="4" priority="1" operator="containsText" text="已关闭"/>
    <x:cfRule type="containsText" dxfId="5" priority="2" operator="containsText" text="处理中"/>
  </x:conditionalFormatting>
  <x:conditionalFormatting sqref="P7:P46">
    <x:cfRule type="containsText" dxfId="6" priority="3" operator="containsText" text="失败"/>
  </x:conditionalFormatting>
  <x:dataValidations count="4">
    <x:dataValidation type="list" sqref="G7:G46">
      <x:formula1>"致命,严重,一般,轻微"</x:formula1>
    </x:dataValidation>
    <x:dataValidation type="list" sqref="H7:H46">
      <x:formula1>"P0,P1,P2,P3"</x:formula1>
    </x:dataValidation>
    <x:dataValidation type="list" sqref="N7:N46">
      <x:formula1>"待确认,已确认,处理中,待回归,已关闭,暂缓"</x:formula1>
    </x:dataValidation>
    <x:dataValidation type="list" sqref="P7:P46">
      <x:formula1>"未回归,通过,失败,不适用"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21b1abbf024b86"/>
  </x:tableParts>
</x:worksheet>
</file>